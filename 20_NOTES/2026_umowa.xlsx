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8e58517c1585e7/_GREGOR/_0UMOWY/KURSY/2026/"/>
    </mc:Choice>
  </mc:AlternateContent>
  <xr:revisionPtr revIDLastSave="142" documentId="8_{E886CEA9-8F51-4633-8D9C-B8B7B8BE5365}" xr6:coauthVersionLast="47" xr6:coauthVersionMax="47" xr10:uidLastSave="{AA0E7028-036C-409C-9769-B64092911C8F}"/>
  <bookViews>
    <workbookView xWindow="2508" yWindow="12" windowWidth="18720" windowHeight="12936" activeTab="2" xr2:uid="{7408A4B7-D645-437A-85E3-02353F73E3B6}"/>
  </bookViews>
  <sheets>
    <sheet name="Kal_26_27" sheetId="2" r:id="rId1"/>
    <sheet name="Lista" sheetId="3" r:id="rId2"/>
    <sheet name="Wzór" sheetId="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Kal_26_27!$A$1:$S$48</definedName>
    <definedName name="_xlnm._FilterDatabase" localSheetId="1" hidden="1">Lista!$A$1:$AE$302</definedName>
    <definedName name="DaneTablicy_1">_xlfn.ANCHORARRAY([1]Hist!$X$6)</definedName>
    <definedName name="_xlnm.Print_Area" localSheetId="2">Wzór!$A$1:$AL$132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2" l="1"/>
  <c r="O47" i="2"/>
  <c r="O46" i="2"/>
  <c r="O45" i="2"/>
  <c r="O44" i="2"/>
  <c r="O43" i="2"/>
  <c r="U43" i="2"/>
  <c r="S43" i="2"/>
  <c r="Q43" i="2"/>
  <c r="M43" i="2"/>
  <c r="K43" i="2"/>
  <c r="I43" i="2"/>
  <c r="G43" i="2"/>
  <c r="E43" i="2"/>
  <c r="S47" i="2"/>
  <c r="C43" i="2"/>
  <c r="P5" i="2"/>
  <c r="P6" i="2" s="1"/>
  <c r="P7" i="2" s="1"/>
  <c r="P8" i="2" s="1"/>
  <c r="P9" i="2" s="1"/>
  <c r="P10" i="2" s="1"/>
  <c r="P11" i="2" s="1"/>
  <c r="AP70" i="1"/>
  <c r="AW7" i="1"/>
  <c r="AX7" i="1"/>
  <c r="AW8" i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X8" i="1"/>
  <c r="AX9" i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W6" i="1"/>
  <c r="AX6" i="1"/>
  <c r="AY7" i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6" i="1"/>
  <c r="AY3" i="1"/>
  <c r="V302" i="3"/>
  <c r="U302" i="3"/>
  <c r="T302" i="3"/>
  <c r="Q302" i="3"/>
  <c r="O302" i="3"/>
  <c r="N302" i="3"/>
  <c r="M302" i="3"/>
  <c r="L302" i="3"/>
  <c r="K302" i="3"/>
  <c r="J302" i="3"/>
  <c r="I302" i="3"/>
  <c r="H302" i="3"/>
  <c r="F302" i="3" s="1"/>
  <c r="G302" i="3"/>
  <c r="C302" i="3"/>
  <c r="B302" i="3"/>
  <c r="AP301" i="3"/>
  <c r="V301" i="3"/>
  <c r="U301" i="3"/>
  <c r="T301" i="3"/>
  <c r="Q301" i="3"/>
  <c r="O301" i="3"/>
  <c r="N301" i="3"/>
  <c r="M301" i="3"/>
  <c r="L301" i="3"/>
  <c r="K301" i="3"/>
  <c r="J301" i="3"/>
  <c r="I301" i="3"/>
  <c r="H301" i="3"/>
  <c r="D301" i="3" s="1"/>
  <c r="G301" i="3"/>
  <c r="F301" i="3"/>
  <c r="E301" i="3"/>
  <c r="C301" i="3"/>
  <c r="B301" i="3"/>
  <c r="AP300" i="3"/>
  <c r="V300" i="3"/>
  <c r="U300" i="3"/>
  <c r="T300" i="3"/>
  <c r="Q300" i="3"/>
  <c r="O300" i="3"/>
  <c r="N300" i="3"/>
  <c r="M300" i="3"/>
  <c r="L300" i="3"/>
  <c r="K300" i="3"/>
  <c r="J300" i="3"/>
  <c r="I300" i="3"/>
  <c r="H300" i="3"/>
  <c r="E300" i="3" s="1"/>
  <c r="G300" i="3"/>
  <c r="C300" i="3"/>
  <c r="B300" i="3"/>
  <c r="AP299" i="3"/>
  <c r="V299" i="3"/>
  <c r="U299" i="3"/>
  <c r="T299" i="3"/>
  <c r="Q299" i="3"/>
  <c r="O299" i="3"/>
  <c r="N299" i="3"/>
  <c r="M299" i="3"/>
  <c r="L299" i="3"/>
  <c r="K299" i="3"/>
  <c r="J299" i="3"/>
  <c r="I299" i="3"/>
  <c r="H299" i="3"/>
  <c r="F299" i="3" s="1"/>
  <c r="G299" i="3"/>
  <c r="C299" i="3"/>
  <c r="B299" i="3"/>
  <c r="AP298" i="3"/>
  <c r="X298" i="3"/>
  <c r="W298" i="3"/>
  <c r="V298" i="3"/>
  <c r="U298" i="3"/>
  <c r="T298" i="3"/>
  <c r="Q298" i="3"/>
  <c r="O298" i="3"/>
  <c r="N298" i="3"/>
  <c r="M298" i="3"/>
  <c r="L298" i="3"/>
  <c r="K298" i="3"/>
  <c r="J298" i="3"/>
  <c r="I298" i="3"/>
  <c r="H298" i="3"/>
  <c r="F298" i="3" s="1"/>
  <c r="G298" i="3"/>
  <c r="C298" i="3"/>
  <c r="B298" i="3"/>
  <c r="AP297" i="3"/>
  <c r="X297" i="3"/>
  <c r="W297" i="3"/>
  <c r="V297" i="3"/>
  <c r="U297" i="3"/>
  <c r="T297" i="3"/>
  <c r="Q297" i="3"/>
  <c r="O297" i="3"/>
  <c r="N297" i="3"/>
  <c r="M297" i="3"/>
  <c r="L297" i="3"/>
  <c r="K297" i="3"/>
  <c r="J297" i="3"/>
  <c r="I297" i="3"/>
  <c r="H297" i="3"/>
  <c r="F297" i="3" s="1"/>
  <c r="G297" i="3"/>
  <c r="C297" i="3"/>
  <c r="B297" i="3"/>
  <c r="AP296" i="3"/>
  <c r="X296" i="3"/>
  <c r="W296" i="3"/>
  <c r="V296" i="3"/>
  <c r="U296" i="3"/>
  <c r="T296" i="3"/>
  <c r="Q296" i="3"/>
  <c r="O296" i="3"/>
  <c r="N296" i="3"/>
  <c r="M296" i="3"/>
  <c r="L296" i="3"/>
  <c r="K296" i="3"/>
  <c r="J296" i="3"/>
  <c r="I296" i="3"/>
  <c r="H296" i="3"/>
  <c r="D296" i="3" s="1"/>
  <c r="G296" i="3"/>
  <c r="F296" i="3"/>
  <c r="E296" i="3"/>
  <c r="C296" i="3"/>
  <c r="B296" i="3"/>
  <c r="AP295" i="3"/>
  <c r="X295" i="3"/>
  <c r="W295" i="3"/>
  <c r="V295" i="3"/>
  <c r="U295" i="3"/>
  <c r="T295" i="3"/>
  <c r="Q295" i="3"/>
  <c r="O295" i="3"/>
  <c r="N295" i="3"/>
  <c r="M295" i="3"/>
  <c r="L295" i="3"/>
  <c r="K295" i="3"/>
  <c r="J295" i="3"/>
  <c r="I295" i="3"/>
  <c r="H295" i="3"/>
  <c r="F295" i="3" s="1"/>
  <c r="G295" i="3"/>
  <c r="C295" i="3"/>
  <c r="B295" i="3"/>
  <c r="AP294" i="3"/>
  <c r="X294" i="3"/>
  <c r="W294" i="3"/>
  <c r="V294" i="3"/>
  <c r="U294" i="3"/>
  <c r="T294" i="3"/>
  <c r="Q294" i="3"/>
  <c r="O294" i="3"/>
  <c r="N294" i="3"/>
  <c r="M294" i="3"/>
  <c r="L294" i="3"/>
  <c r="K294" i="3"/>
  <c r="J294" i="3"/>
  <c r="I294" i="3"/>
  <c r="H294" i="3"/>
  <c r="F294" i="3" s="1"/>
  <c r="G294" i="3"/>
  <c r="C294" i="3"/>
  <c r="B294" i="3"/>
  <c r="AP293" i="3"/>
  <c r="X293" i="3"/>
  <c r="W293" i="3"/>
  <c r="V293" i="3"/>
  <c r="U293" i="3"/>
  <c r="T293" i="3"/>
  <c r="Q293" i="3"/>
  <c r="O293" i="3"/>
  <c r="N293" i="3"/>
  <c r="M293" i="3"/>
  <c r="L293" i="3"/>
  <c r="K293" i="3"/>
  <c r="J293" i="3"/>
  <c r="I293" i="3"/>
  <c r="H293" i="3"/>
  <c r="F293" i="3" s="1"/>
  <c r="G293" i="3"/>
  <c r="C293" i="3"/>
  <c r="B293" i="3"/>
  <c r="AP292" i="3"/>
  <c r="X292" i="3"/>
  <c r="W292" i="3"/>
  <c r="V292" i="3"/>
  <c r="U292" i="3"/>
  <c r="T292" i="3"/>
  <c r="Q292" i="3"/>
  <c r="O292" i="3"/>
  <c r="N292" i="3"/>
  <c r="M292" i="3"/>
  <c r="L292" i="3"/>
  <c r="K292" i="3"/>
  <c r="J292" i="3"/>
  <c r="I292" i="3"/>
  <c r="H292" i="3"/>
  <c r="D292" i="3" s="1"/>
  <c r="G292" i="3"/>
  <c r="C292" i="3"/>
  <c r="B292" i="3"/>
  <c r="AP291" i="3"/>
  <c r="X291" i="3"/>
  <c r="W291" i="3"/>
  <c r="V291" i="3"/>
  <c r="U291" i="3"/>
  <c r="T291" i="3"/>
  <c r="Q291" i="3"/>
  <c r="O291" i="3"/>
  <c r="N291" i="3"/>
  <c r="M291" i="3"/>
  <c r="L291" i="3"/>
  <c r="K291" i="3"/>
  <c r="J291" i="3"/>
  <c r="I291" i="3"/>
  <c r="H291" i="3"/>
  <c r="F291" i="3" s="1"/>
  <c r="G291" i="3"/>
  <c r="C291" i="3"/>
  <c r="B291" i="3"/>
  <c r="AP290" i="3"/>
  <c r="X290" i="3"/>
  <c r="W290" i="3"/>
  <c r="V290" i="3"/>
  <c r="U290" i="3"/>
  <c r="T290" i="3"/>
  <c r="Q290" i="3"/>
  <c r="O290" i="3"/>
  <c r="N290" i="3"/>
  <c r="M290" i="3"/>
  <c r="L290" i="3"/>
  <c r="K290" i="3"/>
  <c r="J290" i="3"/>
  <c r="I290" i="3"/>
  <c r="H290" i="3"/>
  <c r="F290" i="3" s="1"/>
  <c r="G290" i="3"/>
  <c r="C290" i="3"/>
  <c r="B290" i="3"/>
  <c r="AP289" i="3"/>
  <c r="X289" i="3"/>
  <c r="W289" i="3"/>
  <c r="V289" i="3"/>
  <c r="U289" i="3"/>
  <c r="T289" i="3"/>
  <c r="Q289" i="3"/>
  <c r="O289" i="3"/>
  <c r="N289" i="3"/>
  <c r="M289" i="3"/>
  <c r="L289" i="3"/>
  <c r="K289" i="3"/>
  <c r="J289" i="3"/>
  <c r="I289" i="3"/>
  <c r="H289" i="3"/>
  <c r="E289" i="3" s="1"/>
  <c r="G289" i="3"/>
  <c r="C289" i="3"/>
  <c r="B289" i="3"/>
  <c r="AP288" i="3"/>
  <c r="X288" i="3"/>
  <c r="W288" i="3"/>
  <c r="V288" i="3"/>
  <c r="U288" i="3"/>
  <c r="T288" i="3"/>
  <c r="Q288" i="3"/>
  <c r="O288" i="3"/>
  <c r="N288" i="3"/>
  <c r="M288" i="3"/>
  <c r="L288" i="3"/>
  <c r="K288" i="3"/>
  <c r="J288" i="3"/>
  <c r="I288" i="3"/>
  <c r="H288" i="3"/>
  <c r="F288" i="3" s="1"/>
  <c r="G288" i="3"/>
  <c r="C288" i="3"/>
  <c r="B288" i="3"/>
  <c r="AP287" i="3"/>
  <c r="X287" i="3"/>
  <c r="W287" i="3"/>
  <c r="V287" i="3"/>
  <c r="U287" i="3"/>
  <c r="T287" i="3"/>
  <c r="Q287" i="3"/>
  <c r="O287" i="3"/>
  <c r="N287" i="3"/>
  <c r="M287" i="3"/>
  <c r="L287" i="3"/>
  <c r="K287" i="3"/>
  <c r="J287" i="3"/>
  <c r="I287" i="3"/>
  <c r="H287" i="3"/>
  <c r="F287" i="3" s="1"/>
  <c r="G287" i="3"/>
  <c r="C287" i="3"/>
  <c r="B287" i="3"/>
  <c r="AP286" i="3"/>
  <c r="X286" i="3"/>
  <c r="W286" i="3"/>
  <c r="V286" i="3"/>
  <c r="U286" i="3"/>
  <c r="T286" i="3"/>
  <c r="Q286" i="3"/>
  <c r="O286" i="3"/>
  <c r="N286" i="3"/>
  <c r="M286" i="3"/>
  <c r="L286" i="3"/>
  <c r="K286" i="3"/>
  <c r="J286" i="3"/>
  <c r="I286" i="3"/>
  <c r="H286" i="3"/>
  <c r="F286" i="3" s="1"/>
  <c r="G286" i="3"/>
  <c r="C286" i="3"/>
  <c r="B286" i="3"/>
  <c r="AP285" i="3"/>
  <c r="X285" i="3"/>
  <c r="W285" i="3"/>
  <c r="V285" i="3"/>
  <c r="U285" i="3"/>
  <c r="T285" i="3"/>
  <c r="Q285" i="3"/>
  <c r="O285" i="3"/>
  <c r="N285" i="3"/>
  <c r="M285" i="3"/>
  <c r="L285" i="3"/>
  <c r="K285" i="3"/>
  <c r="J285" i="3"/>
  <c r="I285" i="3"/>
  <c r="H285" i="3"/>
  <c r="E285" i="3" s="1"/>
  <c r="G285" i="3"/>
  <c r="C285" i="3"/>
  <c r="B285" i="3"/>
  <c r="AP284" i="3"/>
  <c r="X284" i="3"/>
  <c r="W284" i="3"/>
  <c r="V284" i="3"/>
  <c r="U284" i="3"/>
  <c r="T284" i="3"/>
  <c r="Q284" i="3"/>
  <c r="O284" i="3"/>
  <c r="N284" i="3"/>
  <c r="M284" i="3"/>
  <c r="L284" i="3"/>
  <c r="K284" i="3"/>
  <c r="J284" i="3"/>
  <c r="I284" i="3"/>
  <c r="H284" i="3"/>
  <c r="F284" i="3" s="1"/>
  <c r="G284" i="3"/>
  <c r="C284" i="3"/>
  <c r="B284" i="3"/>
  <c r="AP283" i="3"/>
  <c r="X283" i="3"/>
  <c r="W283" i="3"/>
  <c r="V283" i="3"/>
  <c r="U283" i="3"/>
  <c r="T283" i="3"/>
  <c r="Q283" i="3"/>
  <c r="O283" i="3"/>
  <c r="N283" i="3"/>
  <c r="M283" i="3"/>
  <c r="L283" i="3"/>
  <c r="K283" i="3"/>
  <c r="J283" i="3"/>
  <c r="I283" i="3"/>
  <c r="H283" i="3"/>
  <c r="D283" i="3" s="1"/>
  <c r="G283" i="3"/>
  <c r="C283" i="3"/>
  <c r="B283" i="3"/>
  <c r="AP282" i="3"/>
  <c r="X282" i="3"/>
  <c r="W282" i="3"/>
  <c r="V282" i="3"/>
  <c r="U282" i="3"/>
  <c r="T282" i="3"/>
  <c r="Q282" i="3"/>
  <c r="O282" i="3"/>
  <c r="N282" i="3"/>
  <c r="M282" i="3"/>
  <c r="L282" i="3"/>
  <c r="K282" i="3"/>
  <c r="J282" i="3"/>
  <c r="I282" i="3"/>
  <c r="H282" i="3"/>
  <c r="F282" i="3" s="1"/>
  <c r="G282" i="3"/>
  <c r="C282" i="3"/>
  <c r="B282" i="3"/>
  <c r="AP281" i="3"/>
  <c r="X281" i="3"/>
  <c r="W281" i="3"/>
  <c r="V281" i="3"/>
  <c r="U281" i="3"/>
  <c r="T281" i="3"/>
  <c r="Q281" i="3"/>
  <c r="O281" i="3"/>
  <c r="N281" i="3"/>
  <c r="M281" i="3"/>
  <c r="L281" i="3"/>
  <c r="K281" i="3"/>
  <c r="J281" i="3"/>
  <c r="I281" i="3"/>
  <c r="H281" i="3"/>
  <c r="F281" i="3" s="1"/>
  <c r="G281" i="3"/>
  <c r="C281" i="3"/>
  <c r="B281" i="3"/>
  <c r="AP280" i="3"/>
  <c r="X280" i="3"/>
  <c r="W280" i="3"/>
  <c r="V280" i="3"/>
  <c r="U280" i="3"/>
  <c r="T280" i="3"/>
  <c r="Q280" i="3"/>
  <c r="O280" i="3"/>
  <c r="N280" i="3"/>
  <c r="M280" i="3"/>
  <c r="L280" i="3"/>
  <c r="K280" i="3"/>
  <c r="J280" i="3"/>
  <c r="I280" i="3"/>
  <c r="H280" i="3"/>
  <c r="F280" i="3" s="1"/>
  <c r="G280" i="3"/>
  <c r="C280" i="3"/>
  <c r="B280" i="3"/>
  <c r="AP279" i="3"/>
  <c r="X279" i="3"/>
  <c r="W279" i="3"/>
  <c r="V279" i="3"/>
  <c r="U279" i="3"/>
  <c r="T279" i="3"/>
  <c r="Q279" i="3"/>
  <c r="O279" i="3"/>
  <c r="N279" i="3"/>
  <c r="M279" i="3"/>
  <c r="L279" i="3"/>
  <c r="K279" i="3"/>
  <c r="J279" i="3"/>
  <c r="I279" i="3"/>
  <c r="H279" i="3"/>
  <c r="F279" i="3" s="1"/>
  <c r="G279" i="3"/>
  <c r="C279" i="3"/>
  <c r="B279" i="3"/>
  <c r="AP278" i="3"/>
  <c r="X278" i="3"/>
  <c r="W278" i="3"/>
  <c r="V278" i="3"/>
  <c r="U278" i="3"/>
  <c r="T278" i="3"/>
  <c r="Q278" i="3"/>
  <c r="O278" i="3"/>
  <c r="N278" i="3"/>
  <c r="M278" i="3"/>
  <c r="L278" i="3"/>
  <c r="K278" i="3"/>
  <c r="J278" i="3"/>
  <c r="I278" i="3"/>
  <c r="H278" i="3"/>
  <c r="D278" i="3" s="1"/>
  <c r="G278" i="3"/>
  <c r="C278" i="3"/>
  <c r="B278" i="3"/>
  <c r="AP277" i="3"/>
  <c r="X277" i="3"/>
  <c r="W277" i="3"/>
  <c r="V277" i="3"/>
  <c r="U277" i="3"/>
  <c r="T277" i="3"/>
  <c r="Q277" i="3"/>
  <c r="O277" i="3"/>
  <c r="N277" i="3"/>
  <c r="M277" i="3"/>
  <c r="L277" i="3"/>
  <c r="K277" i="3"/>
  <c r="J277" i="3"/>
  <c r="I277" i="3"/>
  <c r="H277" i="3"/>
  <c r="F277" i="3" s="1"/>
  <c r="G277" i="3"/>
  <c r="C277" i="3"/>
  <c r="B277" i="3"/>
  <c r="AP276" i="3"/>
  <c r="X276" i="3"/>
  <c r="W276" i="3"/>
  <c r="V276" i="3"/>
  <c r="U276" i="3"/>
  <c r="T276" i="3"/>
  <c r="Q276" i="3"/>
  <c r="O276" i="3"/>
  <c r="N276" i="3"/>
  <c r="M276" i="3"/>
  <c r="L276" i="3"/>
  <c r="K276" i="3"/>
  <c r="J276" i="3"/>
  <c r="I276" i="3"/>
  <c r="H276" i="3"/>
  <c r="F276" i="3" s="1"/>
  <c r="G276" i="3"/>
  <c r="C276" i="3"/>
  <c r="B276" i="3"/>
  <c r="AP275" i="3"/>
  <c r="X275" i="3"/>
  <c r="W275" i="3"/>
  <c r="V275" i="3"/>
  <c r="U275" i="3"/>
  <c r="T275" i="3"/>
  <c r="Q275" i="3"/>
  <c r="O275" i="3"/>
  <c r="N275" i="3"/>
  <c r="M275" i="3"/>
  <c r="L275" i="3"/>
  <c r="K275" i="3"/>
  <c r="J275" i="3"/>
  <c r="I275" i="3"/>
  <c r="H275" i="3"/>
  <c r="F275" i="3" s="1"/>
  <c r="G275" i="3"/>
  <c r="C275" i="3"/>
  <c r="B275" i="3"/>
  <c r="AP274" i="3"/>
  <c r="X274" i="3"/>
  <c r="W274" i="3"/>
  <c r="V274" i="3"/>
  <c r="U274" i="3"/>
  <c r="T274" i="3"/>
  <c r="Q274" i="3"/>
  <c r="O274" i="3"/>
  <c r="N274" i="3"/>
  <c r="M274" i="3"/>
  <c r="L274" i="3"/>
  <c r="K274" i="3"/>
  <c r="J274" i="3"/>
  <c r="I274" i="3"/>
  <c r="H274" i="3"/>
  <c r="F274" i="3" s="1"/>
  <c r="G274" i="3"/>
  <c r="C274" i="3"/>
  <c r="B274" i="3"/>
  <c r="AP273" i="3"/>
  <c r="X273" i="3"/>
  <c r="W273" i="3"/>
  <c r="V273" i="3"/>
  <c r="U273" i="3"/>
  <c r="T273" i="3"/>
  <c r="Q273" i="3"/>
  <c r="O273" i="3"/>
  <c r="N273" i="3"/>
  <c r="M273" i="3"/>
  <c r="L273" i="3"/>
  <c r="K273" i="3"/>
  <c r="J273" i="3"/>
  <c r="I273" i="3"/>
  <c r="H273" i="3"/>
  <c r="F273" i="3" s="1"/>
  <c r="G273" i="3"/>
  <c r="C273" i="3"/>
  <c r="B273" i="3"/>
  <c r="AP272" i="3"/>
  <c r="X272" i="3"/>
  <c r="W272" i="3"/>
  <c r="V272" i="3"/>
  <c r="U272" i="3"/>
  <c r="T272" i="3"/>
  <c r="Q272" i="3"/>
  <c r="O272" i="3"/>
  <c r="N272" i="3"/>
  <c r="M272" i="3"/>
  <c r="L272" i="3"/>
  <c r="K272" i="3"/>
  <c r="J272" i="3"/>
  <c r="I272" i="3"/>
  <c r="H272" i="3"/>
  <c r="F272" i="3" s="1"/>
  <c r="G272" i="3"/>
  <c r="C272" i="3"/>
  <c r="B272" i="3"/>
  <c r="AP271" i="3"/>
  <c r="X271" i="3"/>
  <c r="W271" i="3"/>
  <c r="V271" i="3"/>
  <c r="U271" i="3"/>
  <c r="T271" i="3"/>
  <c r="Q271" i="3"/>
  <c r="O271" i="3"/>
  <c r="N271" i="3"/>
  <c r="M271" i="3"/>
  <c r="L271" i="3"/>
  <c r="K271" i="3"/>
  <c r="J271" i="3"/>
  <c r="I271" i="3"/>
  <c r="H271" i="3"/>
  <c r="D271" i="3" s="1"/>
  <c r="G271" i="3"/>
  <c r="E271" i="3"/>
  <c r="C271" i="3"/>
  <c r="B271" i="3"/>
  <c r="AP270" i="3"/>
  <c r="X270" i="3"/>
  <c r="W270" i="3"/>
  <c r="V270" i="3"/>
  <c r="U270" i="3"/>
  <c r="T270" i="3"/>
  <c r="Q270" i="3"/>
  <c r="O270" i="3"/>
  <c r="N270" i="3"/>
  <c r="M270" i="3"/>
  <c r="L270" i="3"/>
  <c r="K270" i="3"/>
  <c r="J270" i="3"/>
  <c r="I270" i="3"/>
  <c r="H270" i="3"/>
  <c r="F270" i="3" s="1"/>
  <c r="G270" i="3"/>
  <c r="C270" i="3"/>
  <c r="B270" i="3"/>
  <c r="AP269" i="3"/>
  <c r="X269" i="3"/>
  <c r="W269" i="3"/>
  <c r="V269" i="3"/>
  <c r="U269" i="3"/>
  <c r="T269" i="3"/>
  <c r="Q269" i="3"/>
  <c r="O269" i="3"/>
  <c r="N269" i="3"/>
  <c r="M269" i="3"/>
  <c r="L269" i="3"/>
  <c r="K269" i="3"/>
  <c r="J269" i="3"/>
  <c r="I269" i="3"/>
  <c r="H269" i="3"/>
  <c r="F269" i="3" s="1"/>
  <c r="G269" i="3"/>
  <c r="C269" i="3"/>
  <c r="B269" i="3"/>
  <c r="AP268" i="3"/>
  <c r="X268" i="3"/>
  <c r="W268" i="3"/>
  <c r="V268" i="3"/>
  <c r="U268" i="3"/>
  <c r="T268" i="3"/>
  <c r="Q268" i="3"/>
  <c r="O268" i="3"/>
  <c r="N268" i="3"/>
  <c r="M268" i="3"/>
  <c r="L268" i="3"/>
  <c r="K268" i="3"/>
  <c r="J268" i="3"/>
  <c r="I268" i="3"/>
  <c r="H268" i="3"/>
  <c r="F268" i="3" s="1"/>
  <c r="G268" i="3"/>
  <c r="C268" i="3"/>
  <c r="B268" i="3"/>
  <c r="AP267" i="3"/>
  <c r="X267" i="3"/>
  <c r="W267" i="3"/>
  <c r="V267" i="3"/>
  <c r="U267" i="3"/>
  <c r="T267" i="3"/>
  <c r="Q267" i="3"/>
  <c r="O267" i="3"/>
  <c r="N267" i="3"/>
  <c r="M267" i="3"/>
  <c r="L267" i="3"/>
  <c r="K267" i="3"/>
  <c r="J267" i="3"/>
  <c r="I267" i="3"/>
  <c r="H267" i="3"/>
  <c r="F267" i="3" s="1"/>
  <c r="G267" i="3"/>
  <c r="C267" i="3"/>
  <c r="B267" i="3"/>
  <c r="AP266" i="3"/>
  <c r="X266" i="3"/>
  <c r="W266" i="3"/>
  <c r="V266" i="3"/>
  <c r="U266" i="3"/>
  <c r="T266" i="3"/>
  <c r="Q266" i="3"/>
  <c r="O266" i="3"/>
  <c r="N266" i="3"/>
  <c r="M266" i="3"/>
  <c r="L266" i="3"/>
  <c r="K266" i="3"/>
  <c r="J266" i="3"/>
  <c r="I266" i="3"/>
  <c r="H266" i="3"/>
  <c r="E266" i="3" s="1"/>
  <c r="G266" i="3"/>
  <c r="C266" i="3"/>
  <c r="B266" i="3"/>
  <c r="AP265" i="3"/>
  <c r="X265" i="3"/>
  <c r="W265" i="3"/>
  <c r="V265" i="3"/>
  <c r="U265" i="3"/>
  <c r="T265" i="3"/>
  <c r="Q265" i="3"/>
  <c r="O265" i="3"/>
  <c r="N265" i="3"/>
  <c r="M265" i="3"/>
  <c r="L265" i="3"/>
  <c r="K265" i="3"/>
  <c r="J265" i="3"/>
  <c r="I265" i="3"/>
  <c r="H265" i="3"/>
  <c r="F265" i="3" s="1"/>
  <c r="G265" i="3"/>
  <c r="C265" i="3"/>
  <c r="B265" i="3"/>
  <c r="AP264" i="3"/>
  <c r="X264" i="3"/>
  <c r="W264" i="3"/>
  <c r="V264" i="3"/>
  <c r="U264" i="3"/>
  <c r="T264" i="3"/>
  <c r="Q264" i="3"/>
  <c r="O264" i="3"/>
  <c r="N264" i="3"/>
  <c r="M264" i="3"/>
  <c r="L264" i="3"/>
  <c r="K264" i="3"/>
  <c r="J264" i="3"/>
  <c r="I264" i="3"/>
  <c r="H264" i="3"/>
  <c r="F264" i="3" s="1"/>
  <c r="G264" i="3"/>
  <c r="C264" i="3"/>
  <c r="B264" i="3"/>
  <c r="AP263" i="3"/>
  <c r="X263" i="3"/>
  <c r="W263" i="3"/>
  <c r="V263" i="3"/>
  <c r="U263" i="3"/>
  <c r="T263" i="3"/>
  <c r="Q263" i="3"/>
  <c r="O263" i="3"/>
  <c r="N263" i="3"/>
  <c r="M263" i="3"/>
  <c r="L263" i="3"/>
  <c r="K263" i="3"/>
  <c r="J263" i="3"/>
  <c r="I263" i="3"/>
  <c r="H263" i="3"/>
  <c r="F263" i="3" s="1"/>
  <c r="G263" i="3"/>
  <c r="C263" i="3"/>
  <c r="B263" i="3"/>
  <c r="AP262" i="3"/>
  <c r="X262" i="3"/>
  <c r="W262" i="3"/>
  <c r="V262" i="3"/>
  <c r="U262" i="3"/>
  <c r="T262" i="3"/>
  <c r="Q262" i="3"/>
  <c r="O262" i="3"/>
  <c r="N262" i="3"/>
  <c r="M262" i="3"/>
  <c r="L262" i="3"/>
  <c r="K262" i="3"/>
  <c r="J262" i="3"/>
  <c r="I262" i="3"/>
  <c r="H262" i="3"/>
  <c r="F262" i="3" s="1"/>
  <c r="G262" i="3"/>
  <c r="C262" i="3"/>
  <c r="B262" i="3"/>
  <c r="AP261" i="3"/>
  <c r="X261" i="3"/>
  <c r="W261" i="3"/>
  <c r="V261" i="3"/>
  <c r="U261" i="3"/>
  <c r="T261" i="3"/>
  <c r="Q261" i="3"/>
  <c r="O261" i="3"/>
  <c r="N261" i="3"/>
  <c r="M261" i="3"/>
  <c r="L261" i="3"/>
  <c r="K261" i="3"/>
  <c r="J261" i="3"/>
  <c r="I261" i="3"/>
  <c r="H261" i="3"/>
  <c r="F261" i="3" s="1"/>
  <c r="G261" i="3"/>
  <c r="D261" i="3"/>
  <c r="C261" i="3"/>
  <c r="B261" i="3"/>
  <c r="AP260" i="3"/>
  <c r="X260" i="3"/>
  <c r="W260" i="3"/>
  <c r="V260" i="3"/>
  <c r="U260" i="3"/>
  <c r="T260" i="3"/>
  <c r="Q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P259" i="3"/>
  <c r="X259" i="3"/>
  <c r="W259" i="3"/>
  <c r="V259" i="3"/>
  <c r="U259" i="3"/>
  <c r="T259" i="3"/>
  <c r="Q259" i="3"/>
  <c r="O259" i="3"/>
  <c r="N259" i="3"/>
  <c r="M259" i="3"/>
  <c r="L259" i="3"/>
  <c r="K259" i="3"/>
  <c r="J259" i="3"/>
  <c r="I259" i="3"/>
  <c r="H259" i="3"/>
  <c r="E259" i="3" s="1"/>
  <c r="G259" i="3"/>
  <c r="C259" i="3"/>
  <c r="B259" i="3"/>
  <c r="AP258" i="3"/>
  <c r="X258" i="3"/>
  <c r="W258" i="3"/>
  <c r="V258" i="3"/>
  <c r="U258" i="3"/>
  <c r="T258" i="3"/>
  <c r="Q258" i="3"/>
  <c r="O258" i="3"/>
  <c r="N258" i="3"/>
  <c r="M258" i="3"/>
  <c r="L258" i="3"/>
  <c r="K258" i="3"/>
  <c r="J258" i="3"/>
  <c r="I258" i="3"/>
  <c r="H258" i="3"/>
  <c r="F258" i="3" s="1"/>
  <c r="G258" i="3"/>
  <c r="C258" i="3"/>
  <c r="B258" i="3"/>
  <c r="AP257" i="3"/>
  <c r="X257" i="3"/>
  <c r="W257" i="3"/>
  <c r="V257" i="3"/>
  <c r="U257" i="3"/>
  <c r="T257" i="3"/>
  <c r="Q257" i="3"/>
  <c r="O257" i="3"/>
  <c r="N257" i="3"/>
  <c r="M257" i="3"/>
  <c r="L257" i="3"/>
  <c r="K257" i="3"/>
  <c r="J257" i="3"/>
  <c r="I257" i="3"/>
  <c r="H257" i="3"/>
  <c r="F257" i="3" s="1"/>
  <c r="G257" i="3"/>
  <c r="C257" i="3"/>
  <c r="B257" i="3"/>
  <c r="AP256" i="3"/>
  <c r="X256" i="3"/>
  <c r="W256" i="3"/>
  <c r="V256" i="3"/>
  <c r="U256" i="3"/>
  <c r="T256" i="3"/>
  <c r="Q256" i="3"/>
  <c r="O256" i="3"/>
  <c r="N256" i="3"/>
  <c r="M256" i="3"/>
  <c r="L256" i="3"/>
  <c r="K256" i="3"/>
  <c r="J256" i="3"/>
  <c r="I256" i="3"/>
  <c r="H256" i="3"/>
  <c r="D256" i="3" s="1"/>
  <c r="G256" i="3"/>
  <c r="C256" i="3"/>
  <c r="B256" i="3"/>
  <c r="AP255" i="3"/>
  <c r="X255" i="3"/>
  <c r="W255" i="3"/>
  <c r="V255" i="3"/>
  <c r="U255" i="3"/>
  <c r="T255" i="3"/>
  <c r="Q255" i="3"/>
  <c r="O255" i="3"/>
  <c r="N255" i="3"/>
  <c r="M255" i="3"/>
  <c r="L255" i="3"/>
  <c r="K255" i="3"/>
  <c r="J255" i="3"/>
  <c r="I255" i="3"/>
  <c r="H255" i="3"/>
  <c r="F255" i="3" s="1"/>
  <c r="G255" i="3"/>
  <c r="C255" i="3"/>
  <c r="B255" i="3"/>
  <c r="AP254" i="3"/>
  <c r="X254" i="3"/>
  <c r="W254" i="3"/>
  <c r="V254" i="3"/>
  <c r="U254" i="3"/>
  <c r="T254" i="3"/>
  <c r="Q254" i="3"/>
  <c r="O254" i="3"/>
  <c r="N254" i="3"/>
  <c r="M254" i="3"/>
  <c r="L254" i="3"/>
  <c r="K254" i="3"/>
  <c r="J254" i="3"/>
  <c r="I254" i="3"/>
  <c r="H254" i="3"/>
  <c r="F254" i="3" s="1"/>
  <c r="G254" i="3"/>
  <c r="C254" i="3"/>
  <c r="B254" i="3"/>
  <c r="AP253" i="3"/>
  <c r="X253" i="3"/>
  <c r="W253" i="3"/>
  <c r="V253" i="3"/>
  <c r="U253" i="3"/>
  <c r="T253" i="3"/>
  <c r="Q253" i="3"/>
  <c r="O253" i="3"/>
  <c r="N253" i="3"/>
  <c r="M253" i="3"/>
  <c r="L253" i="3"/>
  <c r="K253" i="3"/>
  <c r="J253" i="3"/>
  <c r="I253" i="3"/>
  <c r="H253" i="3"/>
  <c r="F253" i="3" s="1"/>
  <c r="G253" i="3"/>
  <c r="C253" i="3"/>
  <c r="B253" i="3"/>
  <c r="AP252" i="3"/>
  <c r="X252" i="3"/>
  <c r="W252" i="3"/>
  <c r="V252" i="3"/>
  <c r="U252" i="3"/>
  <c r="T252" i="3"/>
  <c r="Q252" i="3"/>
  <c r="O252" i="3"/>
  <c r="N252" i="3"/>
  <c r="M252" i="3"/>
  <c r="L252" i="3"/>
  <c r="K252" i="3"/>
  <c r="J252" i="3"/>
  <c r="I252" i="3"/>
  <c r="H252" i="3"/>
  <c r="F252" i="3" s="1"/>
  <c r="G252" i="3"/>
  <c r="C252" i="3"/>
  <c r="B252" i="3"/>
  <c r="AP251" i="3"/>
  <c r="X251" i="3"/>
  <c r="W251" i="3"/>
  <c r="V251" i="3"/>
  <c r="U251" i="3"/>
  <c r="T251" i="3"/>
  <c r="Q251" i="3"/>
  <c r="O251" i="3"/>
  <c r="N251" i="3"/>
  <c r="M251" i="3"/>
  <c r="L251" i="3"/>
  <c r="K251" i="3"/>
  <c r="J251" i="3"/>
  <c r="I251" i="3"/>
  <c r="H251" i="3"/>
  <c r="F251" i="3" s="1"/>
  <c r="G251" i="3"/>
  <c r="C251" i="3"/>
  <c r="B251" i="3"/>
  <c r="AP250" i="3"/>
  <c r="X250" i="3"/>
  <c r="W250" i="3"/>
  <c r="V250" i="3"/>
  <c r="U250" i="3"/>
  <c r="T250" i="3"/>
  <c r="Q250" i="3"/>
  <c r="O250" i="3"/>
  <c r="N250" i="3"/>
  <c r="M250" i="3"/>
  <c r="L250" i="3"/>
  <c r="K250" i="3"/>
  <c r="J250" i="3"/>
  <c r="I250" i="3"/>
  <c r="H250" i="3"/>
  <c r="F250" i="3" s="1"/>
  <c r="G250" i="3"/>
  <c r="C250" i="3"/>
  <c r="B250" i="3"/>
  <c r="AP249" i="3"/>
  <c r="X249" i="3"/>
  <c r="W249" i="3"/>
  <c r="V249" i="3"/>
  <c r="U249" i="3"/>
  <c r="T249" i="3"/>
  <c r="Q249" i="3"/>
  <c r="O249" i="3"/>
  <c r="N249" i="3"/>
  <c r="M249" i="3"/>
  <c r="L249" i="3"/>
  <c r="K249" i="3"/>
  <c r="J249" i="3"/>
  <c r="I249" i="3"/>
  <c r="H249" i="3"/>
  <c r="F249" i="3" s="1"/>
  <c r="G249" i="3"/>
  <c r="C249" i="3"/>
  <c r="B249" i="3"/>
  <c r="AP248" i="3"/>
  <c r="X248" i="3"/>
  <c r="W248" i="3"/>
  <c r="V248" i="3"/>
  <c r="U248" i="3"/>
  <c r="T248" i="3"/>
  <c r="Q248" i="3"/>
  <c r="O248" i="3"/>
  <c r="N248" i="3"/>
  <c r="M248" i="3"/>
  <c r="L248" i="3"/>
  <c r="K248" i="3"/>
  <c r="J248" i="3"/>
  <c r="I248" i="3"/>
  <c r="H248" i="3"/>
  <c r="F248" i="3" s="1"/>
  <c r="G248" i="3"/>
  <c r="E248" i="3"/>
  <c r="C248" i="3"/>
  <c r="B248" i="3"/>
  <c r="AP247" i="3"/>
  <c r="X247" i="3"/>
  <c r="W247" i="3"/>
  <c r="V247" i="3"/>
  <c r="U247" i="3"/>
  <c r="T247" i="3"/>
  <c r="Q247" i="3"/>
  <c r="O247" i="3"/>
  <c r="N247" i="3"/>
  <c r="M247" i="3"/>
  <c r="L247" i="3"/>
  <c r="K247" i="3"/>
  <c r="J247" i="3"/>
  <c r="I247" i="3"/>
  <c r="H247" i="3"/>
  <c r="E247" i="3" s="1"/>
  <c r="G247" i="3"/>
  <c r="F247" i="3"/>
  <c r="C247" i="3"/>
  <c r="B247" i="3"/>
  <c r="AP246" i="3"/>
  <c r="X246" i="3"/>
  <c r="W246" i="3"/>
  <c r="V246" i="3"/>
  <c r="U246" i="3"/>
  <c r="T246" i="3"/>
  <c r="Q246" i="3"/>
  <c r="O246" i="3"/>
  <c r="N246" i="3"/>
  <c r="M246" i="3"/>
  <c r="L246" i="3"/>
  <c r="K246" i="3"/>
  <c r="J246" i="3"/>
  <c r="I246" i="3"/>
  <c r="H246" i="3"/>
  <c r="F246" i="3" s="1"/>
  <c r="G246" i="3"/>
  <c r="C246" i="3"/>
  <c r="B246" i="3"/>
  <c r="AP245" i="3"/>
  <c r="X245" i="3"/>
  <c r="W245" i="3"/>
  <c r="V245" i="3"/>
  <c r="U245" i="3"/>
  <c r="T245" i="3"/>
  <c r="Q245" i="3"/>
  <c r="O245" i="3"/>
  <c r="N245" i="3"/>
  <c r="M245" i="3"/>
  <c r="L245" i="3"/>
  <c r="K245" i="3"/>
  <c r="J245" i="3"/>
  <c r="I245" i="3"/>
  <c r="H245" i="3"/>
  <c r="F245" i="3" s="1"/>
  <c r="G245" i="3"/>
  <c r="C245" i="3"/>
  <c r="B245" i="3"/>
  <c r="AP244" i="3"/>
  <c r="X244" i="3"/>
  <c r="W244" i="3"/>
  <c r="V244" i="3"/>
  <c r="U244" i="3"/>
  <c r="T244" i="3"/>
  <c r="Q244" i="3"/>
  <c r="O244" i="3"/>
  <c r="N244" i="3"/>
  <c r="M244" i="3"/>
  <c r="L244" i="3"/>
  <c r="K244" i="3"/>
  <c r="J244" i="3"/>
  <c r="I244" i="3"/>
  <c r="H244" i="3"/>
  <c r="E244" i="3" s="1"/>
  <c r="G244" i="3"/>
  <c r="C244" i="3"/>
  <c r="B244" i="3"/>
  <c r="AP243" i="3"/>
  <c r="X243" i="3"/>
  <c r="W243" i="3"/>
  <c r="V243" i="3"/>
  <c r="U243" i="3"/>
  <c r="T243" i="3"/>
  <c r="Q243" i="3"/>
  <c r="O243" i="3"/>
  <c r="N243" i="3"/>
  <c r="M243" i="3"/>
  <c r="L243" i="3"/>
  <c r="K243" i="3"/>
  <c r="J243" i="3"/>
  <c r="I243" i="3"/>
  <c r="H243" i="3"/>
  <c r="F243" i="3" s="1"/>
  <c r="G243" i="3"/>
  <c r="C243" i="3"/>
  <c r="B243" i="3"/>
  <c r="AP242" i="3"/>
  <c r="X242" i="3"/>
  <c r="W242" i="3"/>
  <c r="V242" i="3"/>
  <c r="U242" i="3"/>
  <c r="T242" i="3"/>
  <c r="Q242" i="3"/>
  <c r="O242" i="3"/>
  <c r="N242" i="3"/>
  <c r="M242" i="3"/>
  <c r="L242" i="3"/>
  <c r="K242" i="3"/>
  <c r="J242" i="3"/>
  <c r="I242" i="3"/>
  <c r="H242" i="3"/>
  <c r="F242" i="3" s="1"/>
  <c r="G242" i="3"/>
  <c r="D242" i="3"/>
  <c r="C242" i="3"/>
  <c r="B242" i="3"/>
  <c r="AP241" i="3"/>
  <c r="X241" i="3"/>
  <c r="W241" i="3"/>
  <c r="V241" i="3"/>
  <c r="U241" i="3"/>
  <c r="T241" i="3"/>
  <c r="Q241" i="3"/>
  <c r="O241" i="3"/>
  <c r="N241" i="3"/>
  <c r="M241" i="3"/>
  <c r="L241" i="3"/>
  <c r="K241" i="3"/>
  <c r="J241" i="3"/>
  <c r="I241" i="3"/>
  <c r="H241" i="3"/>
  <c r="F241" i="3" s="1"/>
  <c r="G241" i="3"/>
  <c r="D241" i="3"/>
  <c r="C241" i="3"/>
  <c r="B241" i="3"/>
  <c r="AP240" i="3"/>
  <c r="X240" i="3"/>
  <c r="W240" i="3"/>
  <c r="V240" i="3"/>
  <c r="U240" i="3"/>
  <c r="T240" i="3"/>
  <c r="Q240" i="3"/>
  <c r="O240" i="3"/>
  <c r="N240" i="3"/>
  <c r="M240" i="3"/>
  <c r="L240" i="3"/>
  <c r="K240" i="3"/>
  <c r="J240" i="3"/>
  <c r="I240" i="3"/>
  <c r="H240" i="3"/>
  <c r="F240" i="3" s="1"/>
  <c r="G240" i="3"/>
  <c r="C240" i="3"/>
  <c r="B240" i="3"/>
  <c r="AP239" i="3"/>
  <c r="X239" i="3"/>
  <c r="W239" i="3"/>
  <c r="V239" i="3"/>
  <c r="U239" i="3"/>
  <c r="T239" i="3"/>
  <c r="Q239" i="3"/>
  <c r="O239" i="3"/>
  <c r="N239" i="3"/>
  <c r="M239" i="3"/>
  <c r="L239" i="3"/>
  <c r="K239" i="3"/>
  <c r="J239" i="3"/>
  <c r="I239" i="3"/>
  <c r="H239" i="3"/>
  <c r="G239" i="3"/>
  <c r="C239" i="3"/>
  <c r="B239" i="3"/>
  <c r="AP238" i="3"/>
  <c r="X238" i="3"/>
  <c r="W238" i="3"/>
  <c r="V238" i="3"/>
  <c r="U238" i="3"/>
  <c r="T238" i="3"/>
  <c r="Q238" i="3"/>
  <c r="O238" i="3"/>
  <c r="N238" i="3"/>
  <c r="M238" i="3"/>
  <c r="L238" i="3"/>
  <c r="K238" i="3"/>
  <c r="J238" i="3"/>
  <c r="I238" i="3"/>
  <c r="H238" i="3"/>
  <c r="E238" i="3" s="1"/>
  <c r="G238" i="3"/>
  <c r="C238" i="3"/>
  <c r="B238" i="3"/>
  <c r="AP237" i="3"/>
  <c r="X237" i="3"/>
  <c r="W237" i="3"/>
  <c r="V237" i="3"/>
  <c r="U237" i="3"/>
  <c r="T237" i="3"/>
  <c r="Q237" i="3"/>
  <c r="O237" i="3"/>
  <c r="N237" i="3"/>
  <c r="M237" i="3"/>
  <c r="L237" i="3"/>
  <c r="K237" i="3"/>
  <c r="J237" i="3"/>
  <c r="I237" i="3"/>
  <c r="H237" i="3"/>
  <c r="F237" i="3" s="1"/>
  <c r="G237" i="3"/>
  <c r="D237" i="3"/>
  <c r="C237" i="3"/>
  <c r="B237" i="3"/>
  <c r="AP236" i="3"/>
  <c r="X236" i="3"/>
  <c r="W236" i="3"/>
  <c r="V236" i="3"/>
  <c r="U236" i="3"/>
  <c r="T236" i="3"/>
  <c r="Q236" i="3"/>
  <c r="O236" i="3"/>
  <c r="N236" i="3"/>
  <c r="M236" i="3"/>
  <c r="L236" i="3"/>
  <c r="K236" i="3"/>
  <c r="J236" i="3"/>
  <c r="I236" i="3"/>
  <c r="H236" i="3"/>
  <c r="F236" i="3" s="1"/>
  <c r="G236" i="3"/>
  <c r="E236" i="3"/>
  <c r="C236" i="3"/>
  <c r="B236" i="3"/>
  <c r="AP235" i="3"/>
  <c r="X235" i="3"/>
  <c r="W235" i="3"/>
  <c r="V235" i="3"/>
  <c r="U235" i="3"/>
  <c r="T235" i="3"/>
  <c r="Q235" i="3"/>
  <c r="O235" i="3"/>
  <c r="N235" i="3"/>
  <c r="M235" i="3"/>
  <c r="L235" i="3"/>
  <c r="K235" i="3"/>
  <c r="J235" i="3"/>
  <c r="I235" i="3"/>
  <c r="H235" i="3"/>
  <c r="D235" i="3" s="1"/>
  <c r="G235" i="3"/>
  <c r="C235" i="3"/>
  <c r="B235" i="3"/>
  <c r="AP234" i="3"/>
  <c r="X234" i="3"/>
  <c r="W234" i="3"/>
  <c r="V234" i="3"/>
  <c r="U234" i="3"/>
  <c r="T234" i="3"/>
  <c r="Q234" i="3"/>
  <c r="O234" i="3"/>
  <c r="N234" i="3"/>
  <c r="M234" i="3"/>
  <c r="L234" i="3"/>
  <c r="K234" i="3"/>
  <c r="J234" i="3"/>
  <c r="I234" i="3"/>
  <c r="H234" i="3"/>
  <c r="F234" i="3" s="1"/>
  <c r="G234" i="3"/>
  <c r="C234" i="3"/>
  <c r="B234" i="3"/>
  <c r="AP233" i="3"/>
  <c r="X233" i="3"/>
  <c r="W233" i="3"/>
  <c r="V233" i="3"/>
  <c r="U233" i="3"/>
  <c r="T233" i="3"/>
  <c r="Q233" i="3"/>
  <c r="O233" i="3"/>
  <c r="N233" i="3"/>
  <c r="M233" i="3"/>
  <c r="L233" i="3"/>
  <c r="K233" i="3"/>
  <c r="J233" i="3"/>
  <c r="I233" i="3"/>
  <c r="H233" i="3"/>
  <c r="G233" i="3"/>
  <c r="C233" i="3"/>
  <c r="B233" i="3"/>
  <c r="AP232" i="3"/>
  <c r="X232" i="3"/>
  <c r="W232" i="3"/>
  <c r="V232" i="3"/>
  <c r="U232" i="3"/>
  <c r="T232" i="3"/>
  <c r="Q232" i="3"/>
  <c r="O232" i="3"/>
  <c r="N232" i="3"/>
  <c r="M232" i="3"/>
  <c r="L232" i="3"/>
  <c r="K232" i="3"/>
  <c r="J232" i="3"/>
  <c r="I232" i="3"/>
  <c r="H232" i="3"/>
  <c r="F232" i="3" s="1"/>
  <c r="G232" i="3"/>
  <c r="C232" i="3"/>
  <c r="B232" i="3"/>
  <c r="AP231" i="3"/>
  <c r="X231" i="3"/>
  <c r="W231" i="3"/>
  <c r="V231" i="3"/>
  <c r="U231" i="3"/>
  <c r="T231" i="3"/>
  <c r="Q231" i="3"/>
  <c r="O231" i="3"/>
  <c r="N231" i="3"/>
  <c r="M231" i="3"/>
  <c r="L231" i="3"/>
  <c r="K231" i="3"/>
  <c r="J231" i="3"/>
  <c r="I231" i="3"/>
  <c r="H231" i="3"/>
  <c r="F231" i="3" s="1"/>
  <c r="G231" i="3"/>
  <c r="C231" i="3"/>
  <c r="B231" i="3"/>
  <c r="AP230" i="3"/>
  <c r="X230" i="3"/>
  <c r="W230" i="3"/>
  <c r="V230" i="3"/>
  <c r="U230" i="3"/>
  <c r="T230" i="3"/>
  <c r="Q230" i="3"/>
  <c r="O230" i="3"/>
  <c r="N230" i="3"/>
  <c r="M230" i="3"/>
  <c r="L230" i="3"/>
  <c r="K230" i="3"/>
  <c r="J230" i="3"/>
  <c r="I230" i="3"/>
  <c r="H230" i="3"/>
  <c r="E230" i="3" s="1"/>
  <c r="G230" i="3"/>
  <c r="C230" i="3"/>
  <c r="B230" i="3"/>
  <c r="AP229" i="3"/>
  <c r="X229" i="3"/>
  <c r="W229" i="3"/>
  <c r="V229" i="3"/>
  <c r="U229" i="3"/>
  <c r="T229" i="3"/>
  <c r="Q229" i="3"/>
  <c r="O229" i="3"/>
  <c r="N229" i="3"/>
  <c r="M229" i="3"/>
  <c r="L229" i="3"/>
  <c r="K229" i="3"/>
  <c r="J229" i="3"/>
  <c r="I229" i="3"/>
  <c r="H229" i="3"/>
  <c r="F229" i="3" s="1"/>
  <c r="G229" i="3"/>
  <c r="C229" i="3"/>
  <c r="B229" i="3"/>
  <c r="AP228" i="3"/>
  <c r="X228" i="3"/>
  <c r="W228" i="3"/>
  <c r="V228" i="3"/>
  <c r="U228" i="3"/>
  <c r="T228" i="3"/>
  <c r="Q228" i="3"/>
  <c r="O228" i="3"/>
  <c r="N228" i="3"/>
  <c r="M228" i="3"/>
  <c r="L228" i="3"/>
  <c r="K228" i="3"/>
  <c r="J228" i="3"/>
  <c r="I228" i="3"/>
  <c r="H228" i="3"/>
  <c r="F228" i="3" s="1"/>
  <c r="G228" i="3"/>
  <c r="C228" i="3"/>
  <c r="B228" i="3"/>
  <c r="AP227" i="3"/>
  <c r="X227" i="3"/>
  <c r="W227" i="3"/>
  <c r="V227" i="3"/>
  <c r="U227" i="3"/>
  <c r="T227" i="3"/>
  <c r="Q227" i="3"/>
  <c r="O227" i="3"/>
  <c r="N227" i="3"/>
  <c r="M227" i="3"/>
  <c r="L227" i="3"/>
  <c r="K227" i="3"/>
  <c r="J227" i="3"/>
  <c r="I227" i="3"/>
  <c r="H227" i="3"/>
  <c r="G227" i="3"/>
  <c r="C227" i="3"/>
  <c r="B227" i="3"/>
  <c r="AP226" i="3"/>
  <c r="X226" i="3"/>
  <c r="W226" i="3"/>
  <c r="V226" i="3"/>
  <c r="U226" i="3"/>
  <c r="T226" i="3"/>
  <c r="Q226" i="3"/>
  <c r="O226" i="3"/>
  <c r="N226" i="3"/>
  <c r="M226" i="3"/>
  <c r="L226" i="3"/>
  <c r="K226" i="3"/>
  <c r="J226" i="3"/>
  <c r="I226" i="3"/>
  <c r="H226" i="3"/>
  <c r="F226" i="3" s="1"/>
  <c r="G226" i="3"/>
  <c r="C226" i="3"/>
  <c r="B226" i="3"/>
  <c r="AP225" i="3"/>
  <c r="X225" i="3"/>
  <c r="W225" i="3"/>
  <c r="V225" i="3"/>
  <c r="U225" i="3"/>
  <c r="T225" i="3"/>
  <c r="Q225" i="3"/>
  <c r="O225" i="3"/>
  <c r="N225" i="3"/>
  <c r="M225" i="3"/>
  <c r="L225" i="3"/>
  <c r="K225" i="3"/>
  <c r="J225" i="3"/>
  <c r="I225" i="3"/>
  <c r="H225" i="3"/>
  <c r="F225" i="3" s="1"/>
  <c r="G225" i="3"/>
  <c r="D225" i="3"/>
  <c r="C225" i="3"/>
  <c r="B225" i="3"/>
  <c r="AP224" i="3"/>
  <c r="X224" i="3"/>
  <c r="W224" i="3"/>
  <c r="V224" i="3"/>
  <c r="U224" i="3"/>
  <c r="T224" i="3"/>
  <c r="Q224" i="3"/>
  <c r="O224" i="3"/>
  <c r="N224" i="3"/>
  <c r="M224" i="3"/>
  <c r="L224" i="3"/>
  <c r="K224" i="3"/>
  <c r="J224" i="3"/>
  <c r="I224" i="3"/>
  <c r="H224" i="3"/>
  <c r="E224" i="3" s="1"/>
  <c r="G224" i="3"/>
  <c r="C224" i="3"/>
  <c r="B224" i="3"/>
  <c r="AP223" i="3"/>
  <c r="X223" i="3"/>
  <c r="W223" i="3"/>
  <c r="V223" i="3"/>
  <c r="U223" i="3"/>
  <c r="T223" i="3"/>
  <c r="Q223" i="3"/>
  <c r="O223" i="3"/>
  <c r="N223" i="3"/>
  <c r="M223" i="3"/>
  <c r="L223" i="3"/>
  <c r="K223" i="3"/>
  <c r="J223" i="3"/>
  <c r="I223" i="3"/>
  <c r="H223" i="3"/>
  <c r="E223" i="3" s="1"/>
  <c r="G223" i="3"/>
  <c r="C223" i="3"/>
  <c r="B223" i="3"/>
  <c r="AP222" i="3"/>
  <c r="X222" i="3"/>
  <c r="W222" i="3"/>
  <c r="V222" i="3"/>
  <c r="U222" i="3"/>
  <c r="T222" i="3"/>
  <c r="Q222" i="3"/>
  <c r="O222" i="3"/>
  <c r="N222" i="3"/>
  <c r="M222" i="3"/>
  <c r="L222" i="3"/>
  <c r="K222" i="3"/>
  <c r="J222" i="3"/>
  <c r="I222" i="3"/>
  <c r="H222" i="3"/>
  <c r="G222" i="3"/>
  <c r="C222" i="3"/>
  <c r="B222" i="3"/>
  <c r="AP221" i="3"/>
  <c r="X221" i="3"/>
  <c r="W221" i="3"/>
  <c r="V221" i="3"/>
  <c r="U221" i="3"/>
  <c r="T221" i="3"/>
  <c r="Q221" i="3"/>
  <c r="O221" i="3"/>
  <c r="N221" i="3"/>
  <c r="M221" i="3"/>
  <c r="L221" i="3"/>
  <c r="K221" i="3"/>
  <c r="J221" i="3"/>
  <c r="I221" i="3"/>
  <c r="H221" i="3"/>
  <c r="F221" i="3" s="1"/>
  <c r="G221" i="3"/>
  <c r="C221" i="3"/>
  <c r="B221" i="3"/>
  <c r="AP220" i="3"/>
  <c r="X220" i="3"/>
  <c r="W220" i="3"/>
  <c r="V220" i="3"/>
  <c r="U220" i="3"/>
  <c r="T220" i="3"/>
  <c r="Q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P219" i="3"/>
  <c r="X219" i="3"/>
  <c r="W219" i="3"/>
  <c r="V219" i="3"/>
  <c r="U219" i="3"/>
  <c r="T219" i="3"/>
  <c r="Q219" i="3"/>
  <c r="O219" i="3"/>
  <c r="N219" i="3"/>
  <c r="M219" i="3"/>
  <c r="L219" i="3"/>
  <c r="K219" i="3"/>
  <c r="J219" i="3"/>
  <c r="I219" i="3"/>
  <c r="H219" i="3"/>
  <c r="F219" i="3" s="1"/>
  <c r="G219" i="3"/>
  <c r="C219" i="3"/>
  <c r="B219" i="3"/>
  <c r="AP218" i="3"/>
  <c r="X218" i="3"/>
  <c r="W218" i="3"/>
  <c r="V218" i="3"/>
  <c r="U218" i="3"/>
  <c r="T218" i="3"/>
  <c r="Q218" i="3"/>
  <c r="O218" i="3"/>
  <c r="N218" i="3"/>
  <c r="M218" i="3"/>
  <c r="L218" i="3"/>
  <c r="K218" i="3"/>
  <c r="J218" i="3"/>
  <c r="I218" i="3"/>
  <c r="H218" i="3"/>
  <c r="E218" i="3" s="1"/>
  <c r="G218" i="3"/>
  <c r="C218" i="3"/>
  <c r="B218" i="3"/>
  <c r="AP217" i="3"/>
  <c r="X217" i="3"/>
  <c r="W217" i="3"/>
  <c r="V217" i="3"/>
  <c r="U217" i="3"/>
  <c r="T217" i="3"/>
  <c r="Q217" i="3"/>
  <c r="O217" i="3"/>
  <c r="N217" i="3"/>
  <c r="M217" i="3"/>
  <c r="L217" i="3"/>
  <c r="K217" i="3"/>
  <c r="J217" i="3"/>
  <c r="I217" i="3"/>
  <c r="H217" i="3"/>
  <c r="F217" i="3" s="1"/>
  <c r="G217" i="3"/>
  <c r="C217" i="3"/>
  <c r="B217" i="3"/>
  <c r="AP216" i="3"/>
  <c r="X216" i="3"/>
  <c r="W216" i="3"/>
  <c r="V216" i="3"/>
  <c r="U216" i="3"/>
  <c r="T216" i="3"/>
  <c r="Q216" i="3"/>
  <c r="O216" i="3"/>
  <c r="N216" i="3"/>
  <c r="M216" i="3"/>
  <c r="L216" i="3"/>
  <c r="K216" i="3"/>
  <c r="J216" i="3"/>
  <c r="I216" i="3"/>
  <c r="H216" i="3"/>
  <c r="G216" i="3"/>
  <c r="C216" i="3"/>
  <c r="B216" i="3"/>
  <c r="AP215" i="3"/>
  <c r="X215" i="3"/>
  <c r="W215" i="3"/>
  <c r="V215" i="3"/>
  <c r="U215" i="3"/>
  <c r="T215" i="3"/>
  <c r="Q215" i="3"/>
  <c r="O215" i="3"/>
  <c r="N215" i="3"/>
  <c r="M215" i="3"/>
  <c r="L215" i="3"/>
  <c r="K215" i="3"/>
  <c r="J215" i="3"/>
  <c r="I215" i="3"/>
  <c r="H215" i="3"/>
  <c r="F215" i="3" s="1"/>
  <c r="G215" i="3"/>
  <c r="C215" i="3"/>
  <c r="B215" i="3"/>
  <c r="AP214" i="3"/>
  <c r="X214" i="3"/>
  <c r="W214" i="3"/>
  <c r="V214" i="3"/>
  <c r="U214" i="3"/>
  <c r="T214" i="3"/>
  <c r="Q214" i="3"/>
  <c r="O214" i="3"/>
  <c r="N214" i="3"/>
  <c r="M214" i="3"/>
  <c r="L214" i="3"/>
  <c r="K214" i="3"/>
  <c r="J214" i="3"/>
  <c r="I214" i="3"/>
  <c r="H214" i="3"/>
  <c r="F214" i="3" s="1"/>
  <c r="G214" i="3"/>
  <c r="E214" i="3"/>
  <c r="C214" i="3"/>
  <c r="B214" i="3"/>
  <c r="AP213" i="3"/>
  <c r="X213" i="3"/>
  <c r="W213" i="3"/>
  <c r="V213" i="3"/>
  <c r="U213" i="3"/>
  <c r="T213" i="3"/>
  <c r="Q213" i="3"/>
  <c r="O213" i="3"/>
  <c r="N213" i="3"/>
  <c r="M213" i="3"/>
  <c r="L213" i="3"/>
  <c r="K213" i="3"/>
  <c r="J213" i="3"/>
  <c r="I213" i="3"/>
  <c r="H213" i="3"/>
  <c r="F213" i="3" s="1"/>
  <c r="G213" i="3"/>
  <c r="C213" i="3"/>
  <c r="B213" i="3"/>
  <c r="AP212" i="3"/>
  <c r="X212" i="3"/>
  <c r="W212" i="3"/>
  <c r="V212" i="3"/>
  <c r="U212" i="3"/>
  <c r="T212" i="3"/>
  <c r="Q212" i="3"/>
  <c r="O212" i="3"/>
  <c r="N212" i="3"/>
  <c r="M212" i="3"/>
  <c r="L212" i="3"/>
  <c r="K212" i="3"/>
  <c r="J212" i="3"/>
  <c r="I212" i="3"/>
  <c r="H212" i="3"/>
  <c r="F212" i="3" s="1"/>
  <c r="G212" i="3"/>
  <c r="C212" i="3"/>
  <c r="B212" i="3"/>
  <c r="AP211" i="3"/>
  <c r="X211" i="3"/>
  <c r="W211" i="3"/>
  <c r="V211" i="3"/>
  <c r="U211" i="3"/>
  <c r="T211" i="3"/>
  <c r="Q211" i="3"/>
  <c r="O211" i="3"/>
  <c r="N211" i="3"/>
  <c r="M211" i="3"/>
  <c r="L211" i="3"/>
  <c r="K211" i="3"/>
  <c r="J211" i="3"/>
  <c r="I211" i="3"/>
  <c r="H211" i="3"/>
  <c r="E211" i="3" s="1"/>
  <c r="G211" i="3"/>
  <c r="F211" i="3"/>
  <c r="C211" i="3"/>
  <c r="B211" i="3"/>
  <c r="AP210" i="3"/>
  <c r="X210" i="3"/>
  <c r="W210" i="3"/>
  <c r="V210" i="3"/>
  <c r="U210" i="3"/>
  <c r="T210" i="3"/>
  <c r="Q210" i="3"/>
  <c r="O210" i="3"/>
  <c r="N210" i="3"/>
  <c r="M210" i="3"/>
  <c r="L210" i="3"/>
  <c r="K210" i="3"/>
  <c r="J210" i="3"/>
  <c r="I210" i="3"/>
  <c r="H210" i="3"/>
  <c r="G210" i="3"/>
  <c r="C210" i="3"/>
  <c r="B210" i="3"/>
  <c r="AP209" i="3"/>
  <c r="X209" i="3"/>
  <c r="W209" i="3"/>
  <c r="V209" i="3"/>
  <c r="U209" i="3"/>
  <c r="T209" i="3"/>
  <c r="Q209" i="3"/>
  <c r="O209" i="3"/>
  <c r="N209" i="3"/>
  <c r="M209" i="3"/>
  <c r="L209" i="3"/>
  <c r="K209" i="3"/>
  <c r="J209" i="3"/>
  <c r="I209" i="3"/>
  <c r="H209" i="3"/>
  <c r="G209" i="3"/>
  <c r="C209" i="3"/>
  <c r="B209" i="3"/>
  <c r="AP208" i="3"/>
  <c r="X208" i="3"/>
  <c r="W208" i="3"/>
  <c r="V208" i="3"/>
  <c r="U208" i="3"/>
  <c r="T208" i="3"/>
  <c r="Q208" i="3"/>
  <c r="O208" i="3"/>
  <c r="N208" i="3"/>
  <c r="M208" i="3"/>
  <c r="L208" i="3"/>
  <c r="K208" i="3"/>
  <c r="J208" i="3"/>
  <c r="I208" i="3"/>
  <c r="H208" i="3"/>
  <c r="E208" i="3" s="1"/>
  <c r="G208" i="3"/>
  <c r="F208" i="3"/>
  <c r="C208" i="3"/>
  <c r="B208" i="3"/>
  <c r="AP207" i="3"/>
  <c r="X207" i="3"/>
  <c r="W207" i="3"/>
  <c r="V207" i="3"/>
  <c r="U207" i="3"/>
  <c r="T207" i="3"/>
  <c r="Q207" i="3"/>
  <c r="O207" i="3"/>
  <c r="N207" i="3"/>
  <c r="M207" i="3"/>
  <c r="L207" i="3"/>
  <c r="K207" i="3"/>
  <c r="J207" i="3"/>
  <c r="I207" i="3"/>
  <c r="H207" i="3"/>
  <c r="D207" i="3" s="1"/>
  <c r="G207" i="3"/>
  <c r="C207" i="3"/>
  <c r="B207" i="3"/>
  <c r="AP206" i="3"/>
  <c r="X206" i="3"/>
  <c r="W206" i="3"/>
  <c r="V206" i="3"/>
  <c r="U206" i="3"/>
  <c r="T206" i="3"/>
  <c r="Q206" i="3"/>
  <c r="O206" i="3"/>
  <c r="N206" i="3"/>
  <c r="M206" i="3"/>
  <c r="L206" i="3"/>
  <c r="K206" i="3"/>
  <c r="J206" i="3"/>
  <c r="I206" i="3"/>
  <c r="H206" i="3"/>
  <c r="F206" i="3" s="1"/>
  <c r="G206" i="3"/>
  <c r="C206" i="3"/>
  <c r="B206" i="3"/>
  <c r="AP205" i="3"/>
  <c r="X205" i="3"/>
  <c r="W205" i="3"/>
  <c r="V205" i="3"/>
  <c r="U205" i="3"/>
  <c r="T205" i="3"/>
  <c r="Q205" i="3"/>
  <c r="O205" i="3"/>
  <c r="N205" i="3"/>
  <c r="M205" i="3"/>
  <c r="L205" i="3"/>
  <c r="K205" i="3"/>
  <c r="J205" i="3"/>
  <c r="I205" i="3"/>
  <c r="H205" i="3"/>
  <c r="E205" i="3" s="1"/>
  <c r="G205" i="3"/>
  <c r="C205" i="3"/>
  <c r="B205" i="3"/>
  <c r="AP204" i="3"/>
  <c r="X204" i="3"/>
  <c r="W204" i="3"/>
  <c r="V204" i="3"/>
  <c r="U204" i="3"/>
  <c r="T204" i="3"/>
  <c r="Q204" i="3"/>
  <c r="O204" i="3"/>
  <c r="N204" i="3"/>
  <c r="M204" i="3"/>
  <c r="L204" i="3"/>
  <c r="K204" i="3"/>
  <c r="J204" i="3"/>
  <c r="I204" i="3"/>
  <c r="H204" i="3"/>
  <c r="G204" i="3"/>
  <c r="C204" i="3"/>
  <c r="B204" i="3"/>
  <c r="AP203" i="3"/>
  <c r="X203" i="3"/>
  <c r="W203" i="3"/>
  <c r="V203" i="3"/>
  <c r="U203" i="3"/>
  <c r="T203" i="3"/>
  <c r="Q203" i="3"/>
  <c r="O203" i="3"/>
  <c r="N203" i="3"/>
  <c r="M203" i="3"/>
  <c r="L203" i="3"/>
  <c r="K203" i="3"/>
  <c r="J203" i="3"/>
  <c r="I203" i="3"/>
  <c r="H203" i="3"/>
  <c r="F203" i="3" s="1"/>
  <c r="G203" i="3"/>
  <c r="C203" i="3"/>
  <c r="B203" i="3"/>
  <c r="AP202" i="3"/>
  <c r="X202" i="3"/>
  <c r="W202" i="3"/>
  <c r="V202" i="3"/>
  <c r="U202" i="3"/>
  <c r="T202" i="3"/>
  <c r="Q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P201" i="3"/>
  <c r="X201" i="3"/>
  <c r="W201" i="3"/>
  <c r="V201" i="3"/>
  <c r="U201" i="3"/>
  <c r="T201" i="3"/>
  <c r="Q201" i="3"/>
  <c r="O201" i="3"/>
  <c r="N201" i="3"/>
  <c r="M201" i="3"/>
  <c r="L201" i="3"/>
  <c r="K201" i="3"/>
  <c r="J201" i="3"/>
  <c r="I201" i="3"/>
  <c r="H201" i="3"/>
  <c r="D201" i="3" s="1"/>
  <c r="G201" i="3"/>
  <c r="C201" i="3"/>
  <c r="B201" i="3"/>
  <c r="AP200" i="3"/>
  <c r="X200" i="3"/>
  <c r="W200" i="3"/>
  <c r="V200" i="3"/>
  <c r="U200" i="3"/>
  <c r="T200" i="3"/>
  <c r="Q200" i="3"/>
  <c r="O200" i="3"/>
  <c r="N200" i="3"/>
  <c r="M200" i="3"/>
  <c r="L200" i="3"/>
  <c r="K200" i="3"/>
  <c r="J200" i="3"/>
  <c r="I200" i="3"/>
  <c r="H200" i="3"/>
  <c r="F200" i="3" s="1"/>
  <c r="G200" i="3"/>
  <c r="C200" i="3"/>
  <c r="B200" i="3"/>
  <c r="AP199" i="3"/>
  <c r="X199" i="3"/>
  <c r="W199" i="3"/>
  <c r="V199" i="3"/>
  <c r="U199" i="3"/>
  <c r="T199" i="3"/>
  <c r="Q199" i="3"/>
  <c r="O199" i="3"/>
  <c r="N199" i="3"/>
  <c r="M199" i="3"/>
  <c r="L199" i="3"/>
  <c r="K199" i="3"/>
  <c r="J199" i="3"/>
  <c r="I199" i="3"/>
  <c r="H199" i="3"/>
  <c r="D199" i="3" s="1"/>
  <c r="G199" i="3"/>
  <c r="C199" i="3"/>
  <c r="B199" i="3"/>
  <c r="AP198" i="3"/>
  <c r="X198" i="3"/>
  <c r="W198" i="3"/>
  <c r="V198" i="3"/>
  <c r="U198" i="3"/>
  <c r="T198" i="3"/>
  <c r="Q198" i="3"/>
  <c r="O198" i="3"/>
  <c r="N198" i="3"/>
  <c r="M198" i="3"/>
  <c r="L198" i="3"/>
  <c r="K198" i="3"/>
  <c r="J198" i="3"/>
  <c r="I198" i="3"/>
  <c r="H198" i="3"/>
  <c r="G198" i="3"/>
  <c r="C198" i="3"/>
  <c r="B198" i="3"/>
  <c r="AP197" i="3"/>
  <c r="X197" i="3"/>
  <c r="W197" i="3"/>
  <c r="V197" i="3"/>
  <c r="U197" i="3"/>
  <c r="T197" i="3"/>
  <c r="Q197" i="3"/>
  <c r="O197" i="3"/>
  <c r="N197" i="3"/>
  <c r="M197" i="3"/>
  <c r="L197" i="3"/>
  <c r="K197" i="3"/>
  <c r="J197" i="3"/>
  <c r="I197" i="3"/>
  <c r="H197" i="3"/>
  <c r="F197" i="3" s="1"/>
  <c r="G197" i="3"/>
  <c r="C197" i="3"/>
  <c r="B197" i="3"/>
  <c r="AP196" i="3"/>
  <c r="X196" i="3"/>
  <c r="W196" i="3"/>
  <c r="V196" i="3"/>
  <c r="U196" i="3"/>
  <c r="T196" i="3"/>
  <c r="Q196" i="3"/>
  <c r="O196" i="3"/>
  <c r="N196" i="3"/>
  <c r="M196" i="3"/>
  <c r="L196" i="3"/>
  <c r="K196" i="3"/>
  <c r="J196" i="3"/>
  <c r="I196" i="3"/>
  <c r="H196" i="3"/>
  <c r="F196" i="3" s="1"/>
  <c r="G196" i="3"/>
  <c r="C196" i="3"/>
  <c r="B196" i="3"/>
  <c r="AP195" i="3"/>
  <c r="X195" i="3"/>
  <c r="W195" i="3"/>
  <c r="V195" i="3"/>
  <c r="U195" i="3"/>
  <c r="T195" i="3"/>
  <c r="Q195" i="3"/>
  <c r="O195" i="3"/>
  <c r="N195" i="3"/>
  <c r="M195" i="3"/>
  <c r="L195" i="3"/>
  <c r="K195" i="3"/>
  <c r="J195" i="3"/>
  <c r="I195" i="3"/>
  <c r="H195" i="3"/>
  <c r="D195" i="3" s="1"/>
  <c r="G195" i="3"/>
  <c r="C195" i="3"/>
  <c r="B195" i="3"/>
  <c r="AP194" i="3"/>
  <c r="X194" i="3"/>
  <c r="W194" i="3"/>
  <c r="V194" i="3"/>
  <c r="U194" i="3"/>
  <c r="T194" i="3"/>
  <c r="Q194" i="3"/>
  <c r="O194" i="3"/>
  <c r="N194" i="3"/>
  <c r="M194" i="3"/>
  <c r="L194" i="3"/>
  <c r="K194" i="3"/>
  <c r="J194" i="3"/>
  <c r="I194" i="3"/>
  <c r="H194" i="3"/>
  <c r="E194" i="3" s="1"/>
  <c r="G194" i="3"/>
  <c r="F194" i="3"/>
  <c r="C194" i="3"/>
  <c r="B194" i="3"/>
  <c r="AP193" i="3"/>
  <c r="X193" i="3"/>
  <c r="W193" i="3"/>
  <c r="V193" i="3"/>
  <c r="U193" i="3"/>
  <c r="T193" i="3"/>
  <c r="Q193" i="3"/>
  <c r="O193" i="3"/>
  <c r="N193" i="3"/>
  <c r="M193" i="3"/>
  <c r="L193" i="3"/>
  <c r="K193" i="3"/>
  <c r="J193" i="3"/>
  <c r="I193" i="3"/>
  <c r="H193" i="3"/>
  <c r="F193" i="3" s="1"/>
  <c r="G193" i="3"/>
  <c r="C193" i="3"/>
  <c r="B193" i="3"/>
  <c r="AP192" i="3"/>
  <c r="X192" i="3"/>
  <c r="W192" i="3"/>
  <c r="V192" i="3"/>
  <c r="U192" i="3"/>
  <c r="T192" i="3"/>
  <c r="Q192" i="3"/>
  <c r="O192" i="3"/>
  <c r="N192" i="3"/>
  <c r="M192" i="3"/>
  <c r="L192" i="3"/>
  <c r="K192" i="3"/>
  <c r="J192" i="3"/>
  <c r="I192" i="3"/>
  <c r="H192" i="3"/>
  <c r="G192" i="3"/>
  <c r="C192" i="3"/>
  <c r="B192" i="3"/>
  <c r="AP191" i="3"/>
  <c r="X191" i="3"/>
  <c r="W191" i="3"/>
  <c r="V191" i="3"/>
  <c r="U191" i="3"/>
  <c r="T191" i="3"/>
  <c r="Q191" i="3"/>
  <c r="O191" i="3"/>
  <c r="N191" i="3"/>
  <c r="M191" i="3"/>
  <c r="L191" i="3"/>
  <c r="K191" i="3"/>
  <c r="J191" i="3"/>
  <c r="I191" i="3"/>
  <c r="H191" i="3"/>
  <c r="F191" i="3" s="1"/>
  <c r="G191" i="3"/>
  <c r="C191" i="3"/>
  <c r="B191" i="3"/>
  <c r="AP190" i="3"/>
  <c r="X190" i="3"/>
  <c r="W190" i="3"/>
  <c r="V190" i="3"/>
  <c r="U190" i="3"/>
  <c r="T190" i="3"/>
  <c r="Q190" i="3"/>
  <c r="O190" i="3"/>
  <c r="N190" i="3"/>
  <c r="M190" i="3"/>
  <c r="L190" i="3"/>
  <c r="K190" i="3"/>
  <c r="J190" i="3"/>
  <c r="I190" i="3"/>
  <c r="H190" i="3"/>
  <c r="F190" i="3" s="1"/>
  <c r="G190" i="3"/>
  <c r="C190" i="3"/>
  <c r="B190" i="3"/>
  <c r="AP189" i="3"/>
  <c r="X189" i="3"/>
  <c r="W189" i="3"/>
  <c r="V189" i="3"/>
  <c r="U189" i="3"/>
  <c r="T189" i="3"/>
  <c r="Q189" i="3"/>
  <c r="O189" i="3"/>
  <c r="N189" i="3"/>
  <c r="M189" i="3"/>
  <c r="L189" i="3"/>
  <c r="K189" i="3"/>
  <c r="J189" i="3"/>
  <c r="I189" i="3"/>
  <c r="H189" i="3"/>
  <c r="G189" i="3"/>
  <c r="C189" i="3"/>
  <c r="B189" i="3"/>
  <c r="AP188" i="3"/>
  <c r="X188" i="3"/>
  <c r="W188" i="3"/>
  <c r="V188" i="3"/>
  <c r="U188" i="3"/>
  <c r="T188" i="3"/>
  <c r="Q188" i="3"/>
  <c r="O188" i="3"/>
  <c r="N188" i="3"/>
  <c r="M188" i="3"/>
  <c r="L188" i="3"/>
  <c r="K188" i="3"/>
  <c r="J188" i="3"/>
  <c r="I188" i="3"/>
  <c r="H188" i="3"/>
  <c r="F188" i="3" s="1"/>
  <c r="G188" i="3"/>
  <c r="C188" i="3"/>
  <c r="B188" i="3"/>
  <c r="AP187" i="3"/>
  <c r="X187" i="3"/>
  <c r="W187" i="3"/>
  <c r="V187" i="3"/>
  <c r="U187" i="3"/>
  <c r="T187" i="3"/>
  <c r="Q187" i="3"/>
  <c r="O187" i="3"/>
  <c r="N187" i="3"/>
  <c r="M187" i="3"/>
  <c r="L187" i="3"/>
  <c r="K187" i="3"/>
  <c r="J187" i="3"/>
  <c r="I187" i="3"/>
  <c r="H187" i="3"/>
  <c r="F187" i="3" s="1"/>
  <c r="G187" i="3"/>
  <c r="C187" i="3"/>
  <c r="B187" i="3"/>
  <c r="AP186" i="3"/>
  <c r="X186" i="3"/>
  <c r="W186" i="3"/>
  <c r="V186" i="3"/>
  <c r="U186" i="3"/>
  <c r="T186" i="3"/>
  <c r="Q186" i="3"/>
  <c r="O186" i="3"/>
  <c r="N186" i="3"/>
  <c r="M186" i="3"/>
  <c r="L186" i="3"/>
  <c r="K186" i="3"/>
  <c r="J186" i="3"/>
  <c r="I186" i="3"/>
  <c r="H186" i="3"/>
  <c r="G186" i="3"/>
  <c r="C186" i="3"/>
  <c r="B186" i="3"/>
  <c r="AP185" i="3"/>
  <c r="X185" i="3"/>
  <c r="W185" i="3"/>
  <c r="V185" i="3"/>
  <c r="U185" i="3"/>
  <c r="T185" i="3"/>
  <c r="Q185" i="3"/>
  <c r="O185" i="3"/>
  <c r="N185" i="3"/>
  <c r="M185" i="3"/>
  <c r="L185" i="3"/>
  <c r="K185" i="3"/>
  <c r="J185" i="3"/>
  <c r="I185" i="3"/>
  <c r="H185" i="3"/>
  <c r="F185" i="3" s="1"/>
  <c r="G185" i="3"/>
  <c r="C185" i="3"/>
  <c r="B185" i="3"/>
  <c r="AP184" i="3"/>
  <c r="X184" i="3"/>
  <c r="W184" i="3"/>
  <c r="V184" i="3"/>
  <c r="U184" i="3"/>
  <c r="T184" i="3"/>
  <c r="Q184" i="3"/>
  <c r="O184" i="3"/>
  <c r="N184" i="3"/>
  <c r="M184" i="3"/>
  <c r="L184" i="3"/>
  <c r="K184" i="3"/>
  <c r="J184" i="3"/>
  <c r="I184" i="3"/>
  <c r="H184" i="3"/>
  <c r="F184" i="3" s="1"/>
  <c r="G184" i="3"/>
  <c r="C184" i="3"/>
  <c r="B184" i="3"/>
  <c r="AP183" i="3"/>
  <c r="X183" i="3"/>
  <c r="W183" i="3"/>
  <c r="V183" i="3"/>
  <c r="U183" i="3"/>
  <c r="T183" i="3"/>
  <c r="Q183" i="3"/>
  <c r="O183" i="3"/>
  <c r="N183" i="3"/>
  <c r="M183" i="3"/>
  <c r="L183" i="3"/>
  <c r="K183" i="3"/>
  <c r="J183" i="3"/>
  <c r="I183" i="3"/>
  <c r="H183" i="3"/>
  <c r="E183" i="3" s="1"/>
  <c r="G183" i="3"/>
  <c r="C183" i="3"/>
  <c r="B183" i="3"/>
  <c r="AP182" i="3"/>
  <c r="X182" i="3"/>
  <c r="W182" i="3"/>
  <c r="V182" i="3"/>
  <c r="U182" i="3"/>
  <c r="T182" i="3"/>
  <c r="Q182" i="3"/>
  <c r="O182" i="3"/>
  <c r="N182" i="3"/>
  <c r="M182" i="3"/>
  <c r="L182" i="3"/>
  <c r="K182" i="3"/>
  <c r="J182" i="3"/>
  <c r="I182" i="3"/>
  <c r="H182" i="3"/>
  <c r="F182" i="3" s="1"/>
  <c r="G182" i="3"/>
  <c r="D182" i="3"/>
  <c r="C182" i="3"/>
  <c r="B182" i="3"/>
  <c r="AP181" i="3"/>
  <c r="X181" i="3"/>
  <c r="W181" i="3"/>
  <c r="V181" i="3"/>
  <c r="U181" i="3"/>
  <c r="T181" i="3"/>
  <c r="Q181" i="3"/>
  <c r="O181" i="3"/>
  <c r="N181" i="3"/>
  <c r="M181" i="3"/>
  <c r="L181" i="3"/>
  <c r="K181" i="3"/>
  <c r="J181" i="3"/>
  <c r="I181" i="3"/>
  <c r="H181" i="3"/>
  <c r="F181" i="3" s="1"/>
  <c r="G181" i="3"/>
  <c r="C181" i="3"/>
  <c r="B181" i="3"/>
  <c r="AP180" i="3"/>
  <c r="X180" i="3"/>
  <c r="W180" i="3"/>
  <c r="V180" i="3"/>
  <c r="U180" i="3"/>
  <c r="T180" i="3"/>
  <c r="Q180" i="3"/>
  <c r="O180" i="3"/>
  <c r="N180" i="3"/>
  <c r="M180" i="3"/>
  <c r="L180" i="3"/>
  <c r="K180" i="3"/>
  <c r="J180" i="3"/>
  <c r="I180" i="3"/>
  <c r="H180" i="3"/>
  <c r="G180" i="3"/>
  <c r="C180" i="3"/>
  <c r="B180" i="3"/>
  <c r="AP179" i="3"/>
  <c r="X179" i="3"/>
  <c r="W179" i="3"/>
  <c r="V179" i="3"/>
  <c r="U179" i="3"/>
  <c r="T179" i="3"/>
  <c r="Q179" i="3"/>
  <c r="O179" i="3"/>
  <c r="N179" i="3"/>
  <c r="M179" i="3"/>
  <c r="L179" i="3"/>
  <c r="K179" i="3"/>
  <c r="J179" i="3"/>
  <c r="I179" i="3"/>
  <c r="H179" i="3"/>
  <c r="G179" i="3"/>
  <c r="C179" i="3"/>
  <c r="B179" i="3"/>
  <c r="AP178" i="3"/>
  <c r="X178" i="3"/>
  <c r="W178" i="3"/>
  <c r="V178" i="3"/>
  <c r="U178" i="3"/>
  <c r="T178" i="3"/>
  <c r="Q178" i="3"/>
  <c r="O178" i="3"/>
  <c r="N178" i="3"/>
  <c r="M178" i="3"/>
  <c r="L178" i="3"/>
  <c r="K178" i="3"/>
  <c r="J178" i="3"/>
  <c r="I178" i="3"/>
  <c r="H178" i="3"/>
  <c r="D178" i="3" s="1"/>
  <c r="G178" i="3"/>
  <c r="E178" i="3"/>
  <c r="C178" i="3"/>
  <c r="B178" i="3"/>
  <c r="AP177" i="3"/>
  <c r="X177" i="3"/>
  <c r="W177" i="3"/>
  <c r="V177" i="3"/>
  <c r="U177" i="3"/>
  <c r="T177" i="3"/>
  <c r="Q177" i="3"/>
  <c r="O177" i="3"/>
  <c r="N177" i="3"/>
  <c r="M177" i="3"/>
  <c r="L177" i="3"/>
  <c r="K177" i="3"/>
  <c r="J177" i="3"/>
  <c r="I177" i="3"/>
  <c r="H177" i="3"/>
  <c r="E177" i="3" s="1"/>
  <c r="G177" i="3"/>
  <c r="C177" i="3"/>
  <c r="B177" i="3"/>
  <c r="AP176" i="3"/>
  <c r="X176" i="3"/>
  <c r="W176" i="3"/>
  <c r="V176" i="3"/>
  <c r="U176" i="3"/>
  <c r="T176" i="3"/>
  <c r="Q176" i="3"/>
  <c r="O176" i="3"/>
  <c r="N176" i="3"/>
  <c r="M176" i="3"/>
  <c r="L176" i="3"/>
  <c r="K176" i="3"/>
  <c r="J176" i="3"/>
  <c r="I176" i="3"/>
  <c r="H176" i="3"/>
  <c r="F176" i="3" s="1"/>
  <c r="G176" i="3"/>
  <c r="C176" i="3"/>
  <c r="B176" i="3"/>
  <c r="AP175" i="3"/>
  <c r="X175" i="3"/>
  <c r="W175" i="3"/>
  <c r="V175" i="3"/>
  <c r="U175" i="3"/>
  <c r="T175" i="3"/>
  <c r="Q175" i="3"/>
  <c r="O175" i="3"/>
  <c r="N175" i="3"/>
  <c r="M175" i="3"/>
  <c r="L175" i="3"/>
  <c r="K175" i="3"/>
  <c r="J175" i="3"/>
  <c r="I175" i="3"/>
  <c r="H175" i="3"/>
  <c r="F175" i="3" s="1"/>
  <c r="G175" i="3"/>
  <c r="C175" i="3"/>
  <c r="B175" i="3"/>
  <c r="AP174" i="3"/>
  <c r="X174" i="3"/>
  <c r="W174" i="3"/>
  <c r="V174" i="3"/>
  <c r="U174" i="3"/>
  <c r="T174" i="3"/>
  <c r="Q174" i="3"/>
  <c r="O174" i="3"/>
  <c r="N174" i="3"/>
  <c r="M174" i="3"/>
  <c r="L174" i="3"/>
  <c r="K174" i="3"/>
  <c r="J174" i="3"/>
  <c r="I174" i="3"/>
  <c r="H174" i="3"/>
  <c r="G174" i="3"/>
  <c r="C174" i="3"/>
  <c r="B174" i="3"/>
  <c r="AP173" i="3"/>
  <c r="X173" i="3"/>
  <c r="W173" i="3"/>
  <c r="V173" i="3"/>
  <c r="U173" i="3"/>
  <c r="T173" i="3"/>
  <c r="Q173" i="3"/>
  <c r="O173" i="3"/>
  <c r="N173" i="3"/>
  <c r="M173" i="3"/>
  <c r="L173" i="3"/>
  <c r="K173" i="3"/>
  <c r="J173" i="3"/>
  <c r="I173" i="3"/>
  <c r="H173" i="3"/>
  <c r="F173" i="3" s="1"/>
  <c r="G173" i="3"/>
  <c r="C173" i="3"/>
  <c r="B173" i="3"/>
  <c r="AP172" i="3"/>
  <c r="X172" i="3"/>
  <c r="W172" i="3"/>
  <c r="V172" i="3"/>
  <c r="U172" i="3"/>
  <c r="T172" i="3"/>
  <c r="Q172" i="3"/>
  <c r="O172" i="3"/>
  <c r="N172" i="3"/>
  <c r="M172" i="3"/>
  <c r="L172" i="3"/>
  <c r="K172" i="3"/>
  <c r="J172" i="3"/>
  <c r="I172" i="3"/>
  <c r="H172" i="3"/>
  <c r="F172" i="3" s="1"/>
  <c r="G172" i="3"/>
  <c r="C172" i="3"/>
  <c r="B172" i="3"/>
  <c r="AP171" i="3"/>
  <c r="X171" i="3"/>
  <c r="W171" i="3"/>
  <c r="V171" i="3"/>
  <c r="U171" i="3"/>
  <c r="T171" i="3"/>
  <c r="Q171" i="3"/>
  <c r="O171" i="3"/>
  <c r="N171" i="3"/>
  <c r="M171" i="3"/>
  <c r="L171" i="3"/>
  <c r="K171" i="3"/>
  <c r="J171" i="3"/>
  <c r="I171" i="3"/>
  <c r="H171" i="3"/>
  <c r="E171" i="3" s="1"/>
  <c r="G171" i="3"/>
  <c r="C171" i="3"/>
  <c r="B171" i="3"/>
  <c r="AP170" i="3"/>
  <c r="X170" i="3"/>
  <c r="W170" i="3"/>
  <c r="V170" i="3"/>
  <c r="U170" i="3"/>
  <c r="T170" i="3"/>
  <c r="Q170" i="3"/>
  <c r="O170" i="3"/>
  <c r="N170" i="3"/>
  <c r="M170" i="3"/>
  <c r="L170" i="3"/>
  <c r="K170" i="3"/>
  <c r="J170" i="3"/>
  <c r="I170" i="3"/>
  <c r="H170" i="3"/>
  <c r="F170" i="3" s="1"/>
  <c r="G170" i="3"/>
  <c r="C170" i="3"/>
  <c r="B170" i="3"/>
  <c r="AP169" i="3"/>
  <c r="X169" i="3"/>
  <c r="W169" i="3"/>
  <c r="V169" i="3"/>
  <c r="U169" i="3"/>
  <c r="T169" i="3"/>
  <c r="Q169" i="3"/>
  <c r="O169" i="3"/>
  <c r="N169" i="3"/>
  <c r="M169" i="3"/>
  <c r="L169" i="3"/>
  <c r="K169" i="3"/>
  <c r="J169" i="3"/>
  <c r="I169" i="3"/>
  <c r="H169" i="3"/>
  <c r="D169" i="3" s="1"/>
  <c r="G169" i="3"/>
  <c r="E169" i="3"/>
  <c r="C169" i="3"/>
  <c r="B169" i="3"/>
  <c r="AP168" i="3"/>
  <c r="X168" i="3"/>
  <c r="W168" i="3"/>
  <c r="V168" i="3"/>
  <c r="U168" i="3"/>
  <c r="T168" i="3"/>
  <c r="Q168" i="3"/>
  <c r="O168" i="3"/>
  <c r="N168" i="3"/>
  <c r="M168" i="3"/>
  <c r="L168" i="3"/>
  <c r="K168" i="3"/>
  <c r="J168" i="3"/>
  <c r="I168" i="3"/>
  <c r="H168" i="3"/>
  <c r="G168" i="3"/>
  <c r="C168" i="3"/>
  <c r="B168" i="3"/>
  <c r="AP167" i="3"/>
  <c r="X167" i="3"/>
  <c r="W167" i="3"/>
  <c r="V167" i="3"/>
  <c r="U167" i="3"/>
  <c r="T167" i="3"/>
  <c r="Q167" i="3"/>
  <c r="O167" i="3"/>
  <c r="N167" i="3"/>
  <c r="M167" i="3"/>
  <c r="L167" i="3"/>
  <c r="K167" i="3"/>
  <c r="J167" i="3"/>
  <c r="I167" i="3"/>
  <c r="H167" i="3"/>
  <c r="F167" i="3" s="1"/>
  <c r="G167" i="3"/>
  <c r="C167" i="3"/>
  <c r="B167" i="3"/>
  <c r="AP166" i="3"/>
  <c r="X166" i="3"/>
  <c r="W166" i="3"/>
  <c r="V166" i="3"/>
  <c r="U166" i="3"/>
  <c r="T166" i="3"/>
  <c r="Q166" i="3"/>
  <c r="O166" i="3"/>
  <c r="N166" i="3"/>
  <c r="M166" i="3"/>
  <c r="L166" i="3"/>
  <c r="K166" i="3"/>
  <c r="J166" i="3"/>
  <c r="I166" i="3"/>
  <c r="H166" i="3"/>
  <c r="F166" i="3" s="1"/>
  <c r="G166" i="3"/>
  <c r="C166" i="3"/>
  <c r="B166" i="3"/>
  <c r="AP165" i="3"/>
  <c r="X165" i="3"/>
  <c r="W165" i="3"/>
  <c r="V165" i="3"/>
  <c r="U165" i="3"/>
  <c r="T165" i="3"/>
  <c r="Q165" i="3"/>
  <c r="O165" i="3"/>
  <c r="N165" i="3"/>
  <c r="M165" i="3"/>
  <c r="L165" i="3"/>
  <c r="K165" i="3"/>
  <c r="J165" i="3"/>
  <c r="I165" i="3"/>
  <c r="H165" i="3"/>
  <c r="E165" i="3" s="1"/>
  <c r="G165" i="3"/>
  <c r="C165" i="3"/>
  <c r="B165" i="3"/>
  <c r="AP164" i="3"/>
  <c r="X164" i="3"/>
  <c r="W164" i="3"/>
  <c r="V164" i="3"/>
  <c r="U164" i="3"/>
  <c r="T164" i="3"/>
  <c r="Q164" i="3"/>
  <c r="O164" i="3"/>
  <c r="N164" i="3"/>
  <c r="M164" i="3"/>
  <c r="L164" i="3"/>
  <c r="K164" i="3"/>
  <c r="J164" i="3"/>
  <c r="I164" i="3"/>
  <c r="H164" i="3"/>
  <c r="F164" i="3" s="1"/>
  <c r="G164" i="3"/>
  <c r="C164" i="3"/>
  <c r="B164" i="3"/>
  <c r="AP163" i="3"/>
  <c r="X163" i="3"/>
  <c r="W163" i="3"/>
  <c r="V163" i="3"/>
  <c r="U163" i="3"/>
  <c r="T163" i="3"/>
  <c r="Q163" i="3"/>
  <c r="O163" i="3"/>
  <c r="N163" i="3"/>
  <c r="M163" i="3"/>
  <c r="L163" i="3"/>
  <c r="K163" i="3"/>
  <c r="J163" i="3"/>
  <c r="I163" i="3"/>
  <c r="H163" i="3"/>
  <c r="F163" i="3" s="1"/>
  <c r="G163" i="3"/>
  <c r="C163" i="3"/>
  <c r="B163" i="3"/>
  <c r="AP162" i="3"/>
  <c r="X162" i="3"/>
  <c r="W162" i="3"/>
  <c r="V162" i="3"/>
  <c r="U162" i="3"/>
  <c r="T162" i="3"/>
  <c r="Q162" i="3"/>
  <c r="O162" i="3"/>
  <c r="N162" i="3"/>
  <c r="M162" i="3"/>
  <c r="L162" i="3"/>
  <c r="K162" i="3"/>
  <c r="J162" i="3"/>
  <c r="I162" i="3"/>
  <c r="H162" i="3"/>
  <c r="G162" i="3"/>
  <c r="C162" i="3"/>
  <c r="B162" i="3"/>
  <c r="AP161" i="3"/>
  <c r="X161" i="3"/>
  <c r="W161" i="3"/>
  <c r="V161" i="3"/>
  <c r="U161" i="3"/>
  <c r="T161" i="3"/>
  <c r="Q161" i="3"/>
  <c r="O161" i="3"/>
  <c r="N161" i="3"/>
  <c r="M161" i="3"/>
  <c r="L161" i="3"/>
  <c r="K161" i="3"/>
  <c r="J161" i="3"/>
  <c r="I161" i="3"/>
  <c r="H161" i="3"/>
  <c r="G161" i="3"/>
  <c r="C161" i="3"/>
  <c r="B161" i="3"/>
  <c r="AP160" i="3"/>
  <c r="X160" i="3"/>
  <c r="W160" i="3"/>
  <c r="V160" i="3"/>
  <c r="U160" i="3"/>
  <c r="T160" i="3"/>
  <c r="Q160" i="3"/>
  <c r="O160" i="3"/>
  <c r="N160" i="3"/>
  <c r="M160" i="3"/>
  <c r="L160" i="3"/>
  <c r="K160" i="3"/>
  <c r="J160" i="3"/>
  <c r="I160" i="3"/>
  <c r="H160" i="3"/>
  <c r="D160" i="3" s="1"/>
  <c r="G160" i="3"/>
  <c r="C160" i="3"/>
  <c r="B160" i="3"/>
  <c r="AP159" i="3"/>
  <c r="X159" i="3"/>
  <c r="W159" i="3"/>
  <c r="V159" i="3"/>
  <c r="U159" i="3"/>
  <c r="T159" i="3"/>
  <c r="Q159" i="3"/>
  <c r="O159" i="3"/>
  <c r="N159" i="3"/>
  <c r="M159" i="3"/>
  <c r="L159" i="3"/>
  <c r="K159" i="3"/>
  <c r="J159" i="3"/>
  <c r="I159" i="3"/>
  <c r="H159" i="3"/>
  <c r="E159" i="3" s="1"/>
  <c r="G159" i="3"/>
  <c r="C159" i="3"/>
  <c r="B159" i="3"/>
  <c r="AP158" i="3"/>
  <c r="X158" i="3"/>
  <c r="W158" i="3"/>
  <c r="V158" i="3"/>
  <c r="U158" i="3"/>
  <c r="T158" i="3"/>
  <c r="Q158" i="3"/>
  <c r="O158" i="3"/>
  <c r="N158" i="3"/>
  <c r="M158" i="3"/>
  <c r="L158" i="3"/>
  <c r="K158" i="3"/>
  <c r="J158" i="3"/>
  <c r="I158" i="3"/>
  <c r="H158" i="3"/>
  <c r="F158" i="3" s="1"/>
  <c r="G158" i="3"/>
  <c r="D158" i="3"/>
  <c r="C158" i="3"/>
  <c r="B158" i="3"/>
  <c r="AP157" i="3"/>
  <c r="X157" i="3"/>
  <c r="W157" i="3"/>
  <c r="V157" i="3"/>
  <c r="U157" i="3"/>
  <c r="T157" i="3"/>
  <c r="Q157" i="3"/>
  <c r="O157" i="3"/>
  <c r="N157" i="3"/>
  <c r="M157" i="3"/>
  <c r="L157" i="3"/>
  <c r="K157" i="3"/>
  <c r="J157" i="3"/>
  <c r="I157" i="3"/>
  <c r="H157" i="3"/>
  <c r="D157" i="3" s="1"/>
  <c r="G157" i="3"/>
  <c r="C157" i="3"/>
  <c r="B157" i="3"/>
  <c r="AP156" i="3"/>
  <c r="X156" i="3"/>
  <c r="W156" i="3"/>
  <c r="V156" i="3"/>
  <c r="U156" i="3"/>
  <c r="T156" i="3"/>
  <c r="Q156" i="3"/>
  <c r="O156" i="3"/>
  <c r="N156" i="3"/>
  <c r="M156" i="3"/>
  <c r="L156" i="3"/>
  <c r="K156" i="3"/>
  <c r="J156" i="3"/>
  <c r="I156" i="3"/>
  <c r="H156" i="3"/>
  <c r="G156" i="3"/>
  <c r="C156" i="3"/>
  <c r="B156" i="3"/>
  <c r="AP155" i="3"/>
  <c r="X155" i="3"/>
  <c r="W155" i="3"/>
  <c r="V155" i="3"/>
  <c r="U155" i="3"/>
  <c r="T155" i="3"/>
  <c r="Q155" i="3"/>
  <c r="O155" i="3"/>
  <c r="N155" i="3"/>
  <c r="M155" i="3"/>
  <c r="L155" i="3"/>
  <c r="K155" i="3"/>
  <c r="J155" i="3"/>
  <c r="I155" i="3"/>
  <c r="H155" i="3"/>
  <c r="F155" i="3" s="1"/>
  <c r="G155" i="3"/>
  <c r="C155" i="3"/>
  <c r="B155" i="3"/>
  <c r="AP154" i="3"/>
  <c r="X154" i="3"/>
  <c r="W154" i="3"/>
  <c r="V154" i="3"/>
  <c r="U154" i="3"/>
  <c r="T154" i="3"/>
  <c r="Q154" i="3"/>
  <c r="O154" i="3"/>
  <c r="N154" i="3"/>
  <c r="M154" i="3"/>
  <c r="L154" i="3"/>
  <c r="K154" i="3"/>
  <c r="J154" i="3"/>
  <c r="I154" i="3"/>
  <c r="H154" i="3"/>
  <c r="F154" i="3" s="1"/>
  <c r="G154" i="3"/>
  <c r="C154" i="3"/>
  <c r="B154" i="3"/>
  <c r="AP153" i="3"/>
  <c r="X153" i="3"/>
  <c r="W153" i="3"/>
  <c r="V153" i="3"/>
  <c r="U153" i="3"/>
  <c r="T153" i="3"/>
  <c r="Q153" i="3"/>
  <c r="O153" i="3"/>
  <c r="N153" i="3"/>
  <c r="M153" i="3"/>
  <c r="L153" i="3"/>
  <c r="K153" i="3"/>
  <c r="J153" i="3"/>
  <c r="I153" i="3"/>
  <c r="H153" i="3"/>
  <c r="E153" i="3" s="1"/>
  <c r="G153" i="3"/>
  <c r="C153" i="3"/>
  <c r="B153" i="3"/>
  <c r="AP152" i="3"/>
  <c r="X152" i="3"/>
  <c r="W152" i="3"/>
  <c r="V152" i="3"/>
  <c r="U152" i="3"/>
  <c r="T152" i="3"/>
  <c r="Q152" i="3"/>
  <c r="O152" i="3"/>
  <c r="N152" i="3"/>
  <c r="M152" i="3"/>
  <c r="L152" i="3"/>
  <c r="K152" i="3"/>
  <c r="J152" i="3"/>
  <c r="I152" i="3"/>
  <c r="H152" i="3"/>
  <c r="D152" i="3" s="1"/>
  <c r="G152" i="3"/>
  <c r="E152" i="3"/>
  <c r="C152" i="3"/>
  <c r="B152" i="3"/>
  <c r="AP151" i="3"/>
  <c r="X151" i="3"/>
  <c r="W151" i="3"/>
  <c r="V151" i="3"/>
  <c r="U151" i="3"/>
  <c r="T151" i="3"/>
  <c r="Q151" i="3"/>
  <c r="O151" i="3"/>
  <c r="N151" i="3"/>
  <c r="M151" i="3"/>
  <c r="L151" i="3"/>
  <c r="K151" i="3"/>
  <c r="J151" i="3"/>
  <c r="I151" i="3"/>
  <c r="H151" i="3"/>
  <c r="D151" i="3" s="1"/>
  <c r="G151" i="3"/>
  <c r="C151" i="3"/>
  <c r="B151" i="3"/>
  <c r="AP150" i="3"/>
  <c r="X150" i="3"/>
  <c r="W150" i="3"/>
  <c r="V150" i="3"/>
  <c r="U150" i="3"/>
  <c r="T150" i="3"/>
  <c r="Q150" i="3"/>
  <c r="O150" i="3"/>
  <c r="N150" i="3"/>
  <c r="M150" i="3"/>
  <c r="L150" i="3"/>
  <c r="K150" i="3"/>
  <c r="J150" i="3"/>
  <c r="I150" i="3"/>
  <c r="H150" i="3"/>
  <c r="G150" i="3"/>
  <c r="C150" i="3"/>
  <c r="B150" i="3"/>
  <c r="AP149" i="3"/>
  <c r="X149" i="3"/>
  <c r="W149" i="3"/>
  <c r="V149" i="3"/>
  <c r="U149" i="3"/>
  <c r="T149" i="3"/>
  <c r="Q149" i="3"/>
  <c r="O149" i="3"/>
  <c r="N149" i="3"/>
  <c r="M149" i="3"/>
  <c r="L149" i="3"/>
  <c r="K149" i="3"/>
  <c r="J149" i="3"/>
  <c r="I149" i="3"/>
  <c r="H149" i="3"/>
  <c r="G149" i="3"/>
  <c r="C149" i="3"/>
  <c r="B149" i="3"/>
  <c r="AP148" i="3"/>
  <c r="X148" i="3"/>
  <c r="W148" i="3"/>
  <c r="V148" i="3"/>
  <c r="U148" i="3"/>
  <c r="T148" i="3"/>
  <c r="Q148" i="3"/>
  <c r="O148" i="3"/>
  <c r="N148" i="3"/>
  <c r="M148" i="3"/>
  <c r="L148" i="3"/>
  <c r="K148" i="3"/>
  <c r="J148" i="3"/>
  <c r="I148" i="3"/>
  <c r="H148" i="3"/>
  <c r="G148" i="3"/>
  <c r="C148" i="3"/>
  <c r="B148" i="3"/>
  <c r="AP147" i="3"/>
  <c r="X147" i="3"/>
  <c r="W147" i="3"/>
  <c r="V147" i="3"/>
  <c r="U147" i="3"/>
  <c r="T147" i="3"/>
  <c r="Q147" i="3"/>
  <c r="O147" i="3"/>
  <c r="N147" i="3"/>
  <c r="M147" i="3"/>
  <c r="L147" i="3"/>
  <c r="K147" i="3"/>
  <c r="J147" i="3"/>
  <c r="I147" i="3"/>
  <c r="H147" i="3"/>
  <c r="G147" i="3"/>
  <c r="C147" i="3"/>
  <c r="B147" i="3"/>
  <c r="AP146" i="3"/>
  <c r="X146" i="3"/>
  <c r="W146" i="3"/>
  <c r="V146" i="3"/>
  <c r="U146" i="3"/>
  <c r="T146" i="3"/>
  <c r="Q146" i="3"/>
  <c r="O146" i="3"/>
  <c r="N146" i="3"/>
  <c r="M146" i="3"/>
  <c r="L146" i="3"/>
  <c r="K146" i="3"/>
  <c r="J146" i="3"/>
  <c r="I146" i="3"/>
  <c r="H146" i="3"/>
  <c r="G146" i="3"/>
  <c r="C146" i="3"/>
  <c r="B146" i="3"/>
  <c r="AP145" i="3"/>
  <c r="X145" i="3"/>
  <c r="W145" i="3"/>
  <c r="V145" i="3"/>
  <c r="U145" i="3"/>
  <c r="T145" i="3"/>
  <c r="Q145" i="3"/>
  <c r="O145" i="3"/>
  <c r="N145" i="3"/>
  <c r="M145" i="3"/>
  <c r="L145" i="3"/>
  <c r="K145" i="3"/>
  <c r="J145" i="3"/>
  <c r="I145" i="3"/>
  <c r="H145" i="3"/>
  <c r="G145" i="3"/>
  <c r="C145" i="3"/>
  <c r="B145" i="3"/>
  <c r="AP144" i="3"/>
  <c r="X144" i="3"/>
  <c r="W144" i="3"/>
  <c r="V144" i="3"/>
  <c r="U144" i="3"/>
  <c r="T144" i="3"/>
  <c r="Q144" i="3"/>
  <c r="O144" i="3"/>
  <c r="N144" i="3"/>
  <c r="M144" i="3"/>
  <c r="L144" i="3"/>
  <c r="K144" i="3"/>
  <c r="J144" i="3"/>
  <c r="I144" i="3"/>
  <c r="H144" i="3"/>
  <c r="G144" i="3"/>
  <c r="C144" i="3"/>
  <c r="B144" i="3"/>
  <c r="AP143" i="3"/>
  <c r="X143" i="3"/>
  <c r="W143" i="3"/>
  <c r="V143" i="3"/>
  <c r="U143" i="3"/>
  <c r="T143" i="3"/>
  <c r="Q143" i="3"/>
  <c r="O143" i="3"/>
  <c r="N143" i="3"/>
  <c r="M143" i="3"/>
  <c r="L143" i="3"/>
  <c r="K143" i="3"/>
  <c r="J143" i="3"/>
  <c r="I143" i="3"/>
  <c r="H143" i="3"/>
  <c r="G143" i="3"/>
  <c r="C143" i="3"/>
  <c r="B143" i="3"/>
  <c r="AP142" i="3"/>
  <c r="X142" i="3"/>
  <c r="W142" i="3"/>
  <c r="V142" i="3"/>
  <c r="U142" i="3"/>
  <c r="T142" i="3"/>
  <c r="Q142" i="3"/>
  <c r="O142" i="3"/>
  <c r="N142" i="3"/>
  <c r="M142" i="3"/>
  <c r="L142" i="3"/>
  <c r="K142" i="3"/>
  <c r="J142" i="3"/>
  <c r="I142" i="3"/>
  <c r="H142" i="3"/>
  <c r="G142" i="3"/>
  <c r="C142" i="3"/>
  <c r="B142" i="3"/>
  <c r="AP141" i="3"/>
  <c r="X141" i="3"/>
  <c r="W141" i="3"/>
  <c r="V141" i="3"/>
  <c r="U141" i="3"/>
  <c r="T141" i="3"/>
  <c r="Q141" i="3"/>
  <c r="O141" i="3"/>
  <c r="N141" i="3"/>
  <c r="M141" i="3"/>
  <c r="L141" i="3"/>
  <c r="K141" i="3"/>
  <c r="J141" i="3"/>
  <c r="I141" i="3"/>
  <c r="H141" i="3"/>
  <c r="G141" i="3"/>
  <c r="C141" i="3"/>
  <c r="B141" i="3"/>
  <c r="AP140" i="3"/>
  <c r="X140" i="3"/>
  <c r="W140" i="3"/>
  <c r="V140" i="3"/>
  <c r="U140" i="3"/>
  <c r="T140" i="3"/>
  <c r="Q140" i="3"/>
  <c r="O140" i="3"/>
  <c r="N140" i="3"/>
  <c r="M140" i="3"/>
  <c r="L140" i="3"/>
  <c r="K140" i="3"/>
  <c r="J140" i="3"/>
  <c r="I140" i="3"/>
  <c r="H140" i="3"/>
  <c r="G140" i="3"/>
  <c r="C140" i="3"/>
  <c r="B140" i="3"/>
  <c r="AP139" i="3"/>
  <c r="X139" i="3"/>
  <c r="W139" i="3"/>
  <c r="V139" i="3"/>
  <c r="U139" i="3"/>
  <c r="T139" i="3"/>
  <c r="Q139" i="3"/>
  <c r="O139" i="3"/>
  <c r="N139" i="3"/>
  <c r="M139" i="3"/>
  <c r="L139" i="3"/>
  <c r="K139" i="3"/>
  <c r="J139" i="3"/>
  <c r="I139" i="3"/>
  <c r="H139" i="3"/>
  <c r="G139" i="3"/>
  <c r="C139" i="3"/>
  <c r="B139" i="3"/>
  <c r="AP138" i="3"/>
  <c r="X138" i="3"/>
  <c r="W138" i="3"/>
  <c r="V138" i="3"/>
  <c r="U138" i="3"/>
  <c r="T138" i="3"/>
  <c r="Q138" i="3"/>
  <c r="O138" i="3"/>
  <c r="N138" i="3"/>
  <c r="M138" i="3"/>
  <c r="L138" i="3"/>
  <c r="K138" i="3"/>
  <c r="J138" i="3"/>
  <c r="I138" i="3"/>
  <c r="H138" i="3"/>
  <c r="G138" i="3"/>
  <c r="C138" i="3"/>
  <c r="B138" i="3"/>
  <c r="AP137" i="3"/>
  <c r="X137" i="3"/>
  <c r="W137" i="3"/>
  <c r="V137" i="3"/>
  <c r="U137" i="3"/>
  <c r="T137" i="3"/>
  <c r="Q137" i="3"/>
  <c r="O137" i="3"/>
  <c r="N137" i="3"/>
  <c r="M137" i="3"/>
  <c r="L137" i="3"/>
  <c r="K137" i="3"/>
  <c r="J137" i="3"/>
  <c r="I137" i="3"/>
  <c r="H137" i="3"/>
  <c r="G137" i="3"/>
  <c r="C137" i="3"/>
  <c r="B137" i="3"/>
  <c r="AP136" i="3"/>
  <c r="X136" i="3"/>
  <c r="W136" i="3"/>
  <c r="V136" i="3"/>
  <c r="U136" i="3"/>
  <c r="T136" i="3"/>
  <c r="Q136" i="3"/>
  <c r="O136" i="3"/>
  <c r="N136" i="3"/>
  <c r="M136" i="3"/>
  <c r="L136" i="3"/>
  <c r="K136" i="3"/>
  <c r="J136" i="3"/>
  <c r="I136" i="3"/>
  <c r="H136" i="3"/>
  <c r="G136" i="3"/>
  <c r="C136" i="3"/>
  <c r="B136" i="3"/>
  <c r="AP135" i="3"/>
  <c r="X135" i="3"/>
  <c r="W135" i="3"/>
  <c r="V135" i="3"/>
  <c r="U135" i="3"/>
  <c r="T135" i="3"/>
  <c r="Q135" i="3"/>
  <c r="O135" i="3"/>
  <c r="N135" i="3"/>
  <c r="M135" i="3"/>
  <c r="L135" i="3"/>
  <c r="K135" i="3"/>
  <c r="J135" i="3"/>
  <c r="I135" i="3"/>
  <c r="H135" i="3"/>
  <c r="G135" i="3"/>
  <c r="C135" i="3"/>
  <c r="B135" i="3"/>
  <c r="AP134" i="3"/>
  <c r="X134" i="3"/>
  <c r="W134" i="3"/>
  <c r="V134" i="3"/>
  <c r="U134" i="3"/>
  <c r="T134" i="3"/>
  <c r="Q134" i="3"/>
  <c r="O134" i="3"/>
  <c r="N134" i="3"/>
  <c r="M134" i="3"/>
  <c r="L134" i="3"/>
  <c r="K134" i="3"/>
  <c r="J134" i="3"/>
  <c r="I134" i="3"/>
  <c r="H134" i="3"/>
  <c r="G134" i="3"/>
  <c r="C134" i="3"/>
  <c r="B134" i="3"/>
  <c r="AP133" i="3"/>
  <c r="X133" i="3"/>
  <c r="W133" i="3"/>
  <c r="V133" i="3"/>
  <c r="U133" i="3"/>
  <c r="T133" i="3"/>
  <c r="Q133" i="3"/>
  <c r="O133" i="3"/>
  <c r="N133" i="3"/>
  <c r="M133" i="3"/>
  <c r="L133" i="3"/>
  <c r="K133" i="3"/>
  <c r="J133" i="3"/>
  <c r="I133" i="3"/>
  <c r="H133" i="3"/>
  <c r="G133" i="3"/>
  <c r="C133" i="3"/>
  <c r="B133" i="3"/>
  <c r="AP132" i="3"/>
  <c r="X132" i="3"/>
  <c r="W132" i="3"/>
  <c r="V132" i="3"/>
  <c r="U132" i="3"/>
  <c r="T132" i="3"/>
  <c r="Q132" i="3"/>
  <c r="O132" i="3"/>
  <c r="N132" i="3"/>
  <c r="M132" i="3"/>
  <c r="L132" i="3"/>
  <c r="K132" i="3"/>
  <c r="J132" i="3"/>
  <c r="I132" i="3"/>
  <c r="H132" i="3"/>
  <c r="G132" i="3"/>
  <c r="C132" i="3"/>
  <c r="B132" i="3"/>
  <c r="AP131" i="3"/>
  <c r="X131" i="3"/>
  <c r="W131" i="3"/>
  <c r="V131" i="3"/>
  <c r="U131" i="3"/>
  <c r="T131" i="3"/>
  <c r="Q131" i="3"/>
  <c r="O131" i="3"/>
  <c r="N131" i="3"/>
  <c r="M131" i="3"/>
  <c r="L131" i="3"/>
  <c r="K131" i="3"/>
  <c r="J131" i="3"/>
  <c r="I131" i="3"/>
  <c r="H131" i="3"/>
  <c r="G131" i="3"/>
  <c r="C131" i="3"/>
  <c r="B131" i="3"/>
  <c r="AP130" i="3"/>
  <c r="X130" i="3"/>
  <c r="W130" i="3"/>
  <c r="V130" i="3"/>
  <c r="U130" i="3"/>
  <c r="T130" i="3"/>
  <c r="Q130" i="3"/>
  <c r="O130" i="3"/>
  <c r="N130" i="3"/>
  <c r="M130" i="3"/>
  <c r="L130" i="3"/>
  <c r="K130" i="3"/>
  <c r="J130" i="3"/>
  <c r="I130" i="3"/>
  <c r="H130" i="3"/>
  <c r="G130" i="3"/>
  <c r="C130" i="3"/>
  <c r="B130" i="3"/>
  <c r="AP129" i="3"/>
  <c r="X129" i="3"/>
  <c r="W129" i="3"/>
  <c r="V129" i="3"/>
  <c r="U129" i="3"/>
  <c r="T129" i="3"/>
  <c r="Q129" i="3"/>
  <c r="O129" i="3"/>
  <c r="N129" i="3"/>
  <c r="M129" i="3"/>
  <c r="L129" i="3"/>
  <c r="K129" i="3"/>
  <c r="J129" i="3"/>
  <c r="I129" i="3"/>
  <c r="H129" i="3"/>
  <c r="G129" i="3"/>
  <c r="C129" i="3"/>
  <c r="B129" i="3"/>
  <c r="AP128" i="3"/>
  <c r="X128" i="3"/>
  <c r="W128" i="3"/>
  <c r="V128" i="3"/>
  <c r="U128" i="3"/>
  <c r="T128" i="3"/>
  <c r="Q128" i="3"/>
  <c r="O128" i="3"/>
  <c r="N128" i="3"/>
  <c r="M128" i="3"/>
  <c r="L128" i="3"/>
  <c r="K128" i="3"/>
  <c r="J128" i="3"/>
  <c r="I128" i="3"/>
  <c r="H128" i="3"/>
  <c r="G128" i="3"/>
  <c r="C128" i="3"/>
  <c r="B128" i="3"/>
  <c r="AP127" i="3"/>
  <c r="X127" i="3"/>
  <c r="W127" i="3"/>
  <c r="V127" i="3"/>
  <c r="U127" i="3"/>
  <c r="T127" i="3"/>
  <c r="Q127" i="3"/>
  <c r="O127" i="3"/>
  <c r="N127" i="3"/>
  <c r="M127" i="3"/>
  <c r="L127" i="3"/>
  <c r="K127" i="3"/>
  <c r="J127" i="3"/>
  <c r="I127" i="3"/>
  <c r="H127" i="3"/>
  <c r="G127" i="3"/>
  <c r="C127" i="3"/>
  <c r="B127" i="3"/>
  <c r="AP126" i="3"/>
  <c r="X126" i="3"/>
  <c r="W126" i="3"/>
  <c r="V126" i="3"/>
  <c r="U126" i="3"/>
  <c r="T126" i="3"/>
  <c r="Q126" i="3"/>
  <c r="O126" i="3"/>
  <c r="N126" i="3"/>
  <c r="M126" i="3"/>
  <c r="L126" i="3"/>
  <c r="K126" i="3"/>
  <c r="J126" i="3"/>
  <c r="I126" i="3"/>
  <c r="H126" i="3"/>
  <c r="G126" i="3"/>
  <c r="C126" i="3"/>
  <c r="B126" i="3"/>
  <c r="AP125" i="3"/>
  <c r="X125" i="3"/>
  <c r="W125" i="3"/>
  <c r="V125" i="3"/>
  <c r="U125" i="3"/>
  <c r="T125" i="3"/>
  <c r="Q125" i="3"/>
  <c r="O125" i="3"/>
  <c r="N125" i="3"/>
  <c r="M125" i="3"/>
  <c r="L125" i="3"/>
  <c r="K125" i="3"/>
  <c r="J125" i="3"/>
  <c r="I125" i="3"/>
  <c r="H125" i="3"/>
  <c r="G125" i="3"/>
  <c r="C125" i="3"/>
  <c r="B125" i="3"/>
  <c r="AP124" i="3"/>
  <c r="X124" i="3"/>
  <c r="W124" i="3"/>
  <c r="V124" i="3"/>
  <c r="U124" i="3"/>
  <c r="T124" i="3"/>
  <c r="Q124" i="3"/>
  <c r="O124" i="3"/>
  <c r="N124" i="3"/>
  <c r="M124" i="3"/>
  <c r="L124" i="3"/>
  <c r="K124" i="3"/>
  <c r="J124" i="3"/>
  <c r="I124" i="3"/>
  <c r="H124" i="3"/>
  <c r="G124" i="3"/>
  <c r="C124" i="3"/>
  <c r="B124" i="3"/>
  <c r="AP123" i="3"/>
  <c r="X123" i="3"/>
  <c r="W123" i="3"/>
  <c r="V123" i="3"/>
  <c r="U123" i="3"/>
  <c r="T123" i="3"/>
  <c r="Q123" i="3"/>
  <c r="O123" i="3"/>
  <c r="N123" i="3"/>
  <c r="M123" i="3"/>
  <c r="L123" i="3"/>
  <c r="K123" i="3"/>
  <c r="J123" i="3"/>
  <c r="I123" i="3"/>
  <c r="H123" i="3"/>
  <c r="G123" i="3"/>
  <c r="C123" i="3"/>
  <c r="B123" i="3"/>
  <c r="AP122" i="3"/>
  <c r="X122" i="3"/>
  <c r="W122" i="3"/>
  <c r="V122" i="3"/>
  <c r="U122" i="3"/>
  <c r="T122" i="3"/>
  <c r="Q122" i="3"/>
  <c r="O122" i="3"/>
  <c r="N122" i="3"/>
  <c r="M122" i="3"/>
  <c r="L122" i="3"/>
  <c r="K122" i="3"/>
  <c r="J122" i="3"/>
  <c r="I122" i="3"/>
  <c r="H122" i="3"/>
  <c r="G122" i="3"/>
  <c r="C122" i="3"/>
  <c r="B122" i="3"/>
  <c r="AP121" i="3"/>
  <c r="X121" i="3"/>
  <c r="W121" i="3"/>
  <c r="V121" i="3"/>
  <c r="U121" i="3"/>
  <c r="T121" i="3"/>
  <c r="Q121" i="3"/>
  <c r="O121" i="3"/>
  <c r="N121" i="3"/>
  <c r="M121" i="3"/>
  <c r="L121" i="3"/>
  <c r="K121" i="3"/>
  <c r="J121" i="3"/>
  <c r="I121" i="3"/>
  <c r="H121" i="3"/>
  <c r="G121" i="3"/>
  <c r="C121" i="3"/>
  <c r="B121" i="3"/>
  <c r="AP120" i="3"/>
  <c r="X120" i="3"/>
  <c r="W120" i="3"/>
  <c r="V120" i="3"/>
  <c r="U120" i="3"/>
  <c r="T120" i="3"/>
  <c r="Q120" i="3"/>
  <c r="O120" i="3"/>
  <c r="N120" i="3"/>
  <c r="M120" i="3"/>
  <c r="L120" i="3"/>
  <c r="K120" i="3"/>
  <c r="J120" i="3"/>
  <c r="I120" i="3"/>
  <c r="H120" i="3"/>
  <c r="G120" i="3"/>
  <c r="C120" i="3"/>
  <c r="B120" i="3"/>
  <c r="AP119" i="3"/>
  <c r="X119" i="3"/>
  <c r="W119" i="3"/>
  <c r="V119" i="3"/>
  <c r="U119" i="3"/>
  <c r="T119" i="3"/>
  <c r="Q119" i="3"/>
  <c r="O119" i="3"/>
  <c r="N119" i="3"/>
  <c r="M119" i="3"/>
  <c r="L119" i="3"/>
  <c r="K119" i="3"/>
  <c r="J119" i="3"/>
  <c r="I119" i="3"/>
  <c r="H119" i="3"/>
  <c r="G119" i="3"/>
  <c r="C119" i="3"/>
  <c r="B119" i="3"/>
  <c r="AP118" i="3"/>
  <c r="X118" i="3"/>
  <c r="W118" i="3"/>
  <c r="V118" i="3"/>
  <c r="U118" i="3"/>
  <c r="T118" i="3"/>
  <c r="Q118" i="3"/>
  <c r="O118" i="3"/>
  <c r="N118" i="3"/>
  <c r="M118" i="3"/>
  <c r="L118" i="3"/>
  <c r="K118" i="3"/>
  <c r="J118" i="3"/>
  <c r="I118" i="3"/>
  <c r="H118" i="3"/>
  <c r="G118" i="3"/>
  <c r="C118" i="3"/>
  <c r="B118" i="3"/>
  <c r="AP117" i="3"/>
  <c r="X117" i="3"/>
  <c r="W117" i="3"/>
  <c r="V117" i="3"/>
  <c r="U117" i="3"/>
  <c r="T117" i="3"/>
  <c r="Q117" i="3"/>
  <c r="O117" i="3"/>
  <c r="N117" i="3"/>
  <c r="M117" i="3"/>
  <c r="L117" i="3"/>
  <c r="K117" i="3"/>
  <c r="J117" i="3"/>
  <c r="I117" i="3"/>
  <c r="H117" i="3"/>
  <c r="G117" i="3"/>
  <c r="C117" i="3"/>
  <c r="B117" i="3"/>
  <c r="AP116" i="3"/>
  <c r="X116" i="3"/>
  <c r="W116" i="3"/>
  <c r="V116" i="3"/>
  <c r="U116" i="3"/>
  <c r="T116" i="3"/>
  <c r="Q116" i="3"/>
  <c r="O116" i="3"/>
  <c r="N116" i="3"/>
  <c r="M116" i="3"/>
  <c r="L116" i="3"/>
  <c r="K116" i="3"/>
  <c r="J116" i="3"/>
  <c r="I116" i="3"/>
  <c r="H116" i="3"/>
  <c r="G116" i="3"/>
  <c r="C116" i="3"/>
  <c r="B116" i="3"/>
  <c r="AP115" i="3"/>
  <c r="X115" i="3"/>
  <c r="W115" i="3"/>
  <c r="V115" i="3"/>
  <c r="U115" i="3"/>
  <c r="T115" i="3"/>
  <c r="Q115" i="3"/>
  <c r="O115" i="3"/>
  <c r="N115" i="3"/>
  <c r="M115" i="3"/>
  <c r="L115" i="3"/>
  <c r="K115" i="3"/>
  <c r="J115" i="3"/>
  <c r="I115" i="3"/>
  <c r="H115" i="3"/>
  <c r="G115" i="3"/>
  <c r="C115" i="3"/>
  <c r="B115" i="3"/>
  <c r="AP114" i="3"/>
  <c r="X114" i="3"/>
  <c r="W114" i="3"/>
  <c r="V114" i="3"/>
  <c r="U114" i="3"/>
  <c r="T114" i="3"/>
  <c r="Q114" i="3"/>
  <c r="O114" i="3"/>
  <c r="N114" i="3"/>
  <c r="M114" i="3"/>
  <c r="L114" i="3"/>
  <c r="K114" i="3"/>
  <c r="J114" i="3"/>
  <c r="I114" i="3"/>
  <c r="H114" i="3"/>
  <c r="G114" i="3"/>
  <c r="C114" i="3"/>
  <c r="B114" i="3"/>
  <c r="AP113" i="3"/>
  <c r="X113" i="3"/>
  <c r="W113" i="3"/>
  <c r="V113" i="3"/>
  <c r="U113" i="3"/>
  <c r="T113" i="3"/>
  <c r="Q113" i="3"/>
  <c r="O113" i="3"/>
  <c r="N113" i="3"/>
  <c r="M113" i="3"/>
  <c r="L113" i="3"/>
  <c r="K113" i="3"/>
  <c r="J113" i="3"/>
  <c r="I113" i="3"/>
  <c r="H113" i="3"/>
  <c r="G113" i="3"/>
  <c r="C113" i="3"/>
  <c r="B113" i="3"/>
  <c r="AP112" i="3"/>
  <c r="X112" i="3"/>
  <c r="W112" i="3"/>
  <c r="V112" i="3"/>
  <c r="U112" i="3"/>
  <c r="T112" i="3"/>
  <c r="Q112" i="3"/>
  <c r="O112" i="3"/>
  <c r="N112" i="3"/>
  <c r="M112" i="3"/>
  <c r="L112" i="3"/>
  <c r="K112" i="3"/>
  <c r="J112" i="3"/>
  <c r="I112" i="3"/>
  <c r="H112" i="3"/>
  <c r="G112" i="3"/>
  <c r="C112" i="3"/>
  <c r="B112" i="3"/>
  <c r="AP111" i="3"/>
  <c r="X111" i="3"/>
  <c r="W111" i="3"/>
  <c r="V111" i="3"/>
  <c r="U111" i="3"/>
  <c r="T111" i="3"/>
  <c r="Q111" i="3"/>
  <c r="O111" i="3"/>
  <c r="N111" i="3"/>
  <c r="M111" i="3"/>
  <c r="L111" i="3"/>
  <c r="K111" i="3"/>
  <c r="J111" i="3"/>
  <c r="I111" i="3"/>
  <c r="H111" i="3"/>
  <c r="G111" i="3"/>
  <c r="C111" i="3"/>
  <c r="B111" i="3"/>
  <c r="AP110" i="3"/>
  <c r="X110" i="3"/>
  <c r="W110" i="3"/>
  <c r="V110" i="3"/>
  <c r="U110" i="3"/>
  <c r="T110" i="3"/>
  <c r="Q110" i="3"/>
  <c r="O110" i="3"/>
  <c r="N110" i="3"/>
  <c r="M110" i="3"/>
  <c r="L110" i="3"/>
  <c r="K110" i="3"/>
  <c r="J110" i="3"/>
  <c r="I110" i="3"/>
  <c r="H110" i="3"/>
  <c r="G110" i="3"/>
  <c r="C110" i="3"/>
  <c r="B110" i="3"/>
  <c r="AP109" i="3"/>
  <c r="X109" i="3"/>
  <c r="W109" i="3"/>
  <c r="V109" i="3"/>
  <c r="U109" i="3"/>
  <c r="T109" i="3"/>
  <c r="Q109" i="3"/>
  <c r="O109" i="3"/>
  <c r="N109" i="3"/>
  <c r="M109" i="3"/>
  <c r="L109" i="3"/>
  <c r="K109" i="3"/>
  <c r="J109" i="3"/>
  <c r="I109" i="3"/>
  <c r="H109" i="3"/>
  <c r="G109" i="3"/>
  <c r="C109" i="3"/>
  <c r="B109" i="3"/>
  <c r="AP108" i="3"/>
  <c r="X108" i="3"/>
  <c r="W108" i="3"/>
  <c r="V108" i="3"/>
  <c r="U108" i="3"/>
  <c r="T108" i="3"/>
  <c r="Q108" i="3"/>
  <c r="O108" i="3"/>
  <c r="N108" i="3"/>
  <c r="M108" i="3"/>
  <c r="L108" i="3"/>
  <c r="K108" i="3"/>
  <c r="J108" i="3"/>
  <c r="I108" i="3"/>
  <c r="H108" i="3"/>
  <c r="G108" i="3"/>
  <c r="C108" i="3"/>
  <c r="B108" i="3"/>
  <c r="AP107" i="3"/>
  <c r="X107" i="3"/>
  <c r="W107" i="3"/>
  <c r="V107" i="3"/>
  <c r="U107" i="3"/>
  <c r="T107" i="3"/>
  <c r="Q107" i="3"/>
  <c r="O107" i="3"/>
  <c r="N107" i="3"/>
  <c r="M107" i="3"/>
  <c r="L107" i="3"/>
  <c r="K107" i="3"/>
  <c r="J107" i="3"/>
  <c r="I107" i="3"/>
  <c r="H107" i="3"/>
  <c r="G107" i="3"/>
  <c r="C107" i="3"/>
  <c r="B107" i="3"/>
  <c r="AP106" i="3"/>
  <c r="X106" i="3"/>
  <c r="W106" i="3"/>
  <c r="V106" i="3"/>
  <c r="U106" i="3"/>
  <c r="T106" i="3"/>
  <c r="Q106" i="3"/>
  <c r="O106" i="3"/>
  <c r="N106" i="3"/>
  <c r="M106" i="3"/>
  <c r="L106" i="3"/>
  <c r="K106" i="3"/>
  <c r="J106" i="3"/>
  <c r="I106" i="3"/>
  <c r="H106" i="3"/>
  <c r="G106" i="3"/>
  <c r="C106" i="3"/>
  <c r="B106" i="3"/>
  <c r="AP105" i="3"/>
  <c r="X105" i="3"/>
  <c r="W105" i="3"/>
  <c r="V105" i="3"/>
  <c r="U105" i="3"/>
  <c r="T105" i="3"/>
  <c r="Q105" i="3"/>
  <c r="O105" i="3"/>
  <c r="N105" i="3"/>
  <c r="M105" i="3"/>
  <c r="L105" i="3"/>
  <c r="K105" i="3"/>
  <c r="J105" i="3"/>
  <c r="I105" i="3"/>
  <c r="H105" i="3"/>
  <c r="G105" i="3"/>
  <c r="C105" i="3"/>
  <c r="B105" i="3"/>
  <c r="AP104" i="3"/>
  <c r="X104" i="3"/>
  <c r="W104" i="3"/>
  <c r="V104" i="3"/>
  <c r="U104" i="3"/>
  <c r="T104" i="3"/>
  <c r="Q104" i="3"/>
  <c r="O104" i="3"/>
  <c r="N104" i="3"/>
  <c r="M104" i="3"/>
  <c r="L104" i="3"/>
  <c r="K104" i="3"/>
  <c r="J104" i="3"/>
  <c r="I104" i="3"/>
  <c r="H104" i="3"/>
  <c r="G104" i="3"/>
  <c r="C104" i="3"/>
  <c r="B104" i="3"/>
  <c r="AP103" i="3"/>
  <c r="X103" i="3"/>
  <c r="W103" i="3"/>
  <c r="V103" i="3"/>
  <c r="U103" i="3"/>
  <c r="T103" i="3"/>
  <c r="Q103" i="3"/>
  <c r="O103" i="3"/>
  <c r="N103" i="3"/>
  <c r="M103" i="3"/>
  <c r="L103" i="3"/>
  <c r="K103" i="3"/>
  <c r="J103" i="3"/>
  <c r="I103" i="3"/>
  <c r="H103" i="3"/>
  <c r="G103" i="3"/>
  <c r="C103" i="3"/>
  <c r="B103" i="3"/>
  <c r="AP102" i="3"/>
  <c r="X102" i="3"/>
  <c r="W102" i="3"/>
  <c r="V102" i="3"/>
  <c r="U102" i="3"/>
  <c r="T102" i="3"/>
  <c r="Q102" i="3"/>
  <c r="O102" i="3"/>
  <c r="N102" i="3"/>
  <c r="M102" i="3"/>
  <c r="L102" i="3"/>
  <c r="K102" i="3"/>
  <c r="J102" i="3"/>
  <c r="I102" i="3"/>
  <c r="H102" i="3"/>
  <c r="C102" i="3"/>
  <c r="B102" i="3"/>
  <c r="AP101" i="3"/>
  <c r="X101" i="3"/>
  <c r="W101" i="3"/>
  <c r="V101" i="3"/>
  <c r="U101" i="3"/>
  <c r="T101" i="3"/>
  <c r="Q101" i="3"/>
  <c r="O101" i="3"/>
  <c r="N101" i="3"/>
  <c r="M101" i="3"/>
  <c r="L101" i="3"/>
  <c r="K101" i="3"/>
  <c r="J101" i="3"/>
  <c r="I101" i="3"/>
  <c r="H101" i="3"/>
  <c r="G101" i="3"/>
  <c r="C101" i="3"/>
  <c r="B101" i="3"/>
  <c r="AP100" i="3"/>
  <c r="X100" i="3"/>
  <c r="W100" i="3"/>
  <c r="V100" i="3"/>
  <c r="U100" i="3"/>
  <c r="T100" i="3"/>
  <c r="Q100" i="3"/>
  <c r="O100" i="3"/>
  <c r="N100" i="3"/>
  <c r="M100" i="3"/>
  <c r="L100" i="3"/>
  <c r="K100" i="3"/>
  <c r="J100" i="3"/>
  <c r="I100" i="3"/>
  <c r="H100" i="3"/>
  <c r="G100" i="3"/>
  <c r="C100" i="3"/>
  <c r="B100" i="3"/>
  <c r="AP99" i="3"/>
  <c r="X99" i="3"/>
  <c r="W99" i="3"/>
  <c r="V99" i="3"/>
  <c r="U99" i="3"/>
  <c r="T99" i="3"/>
  <c r="Q99" i="3"/>
  <c r="O99" i="3"/>
  <c r="N99" i="3"/>
  <c r="M99" i="3"/>
  <c r="L99" i="3"/>
  <c r="K99" i="3"/>
  <c r="J99" i="3"/>
  <c r="I99" i="3"/>
  <c r="H99" i="3"/>
  <c r="G99" i="3"/>
  <c r="C99" i="3"/>
  <c r="B99" i="3"/>
  <c r="AP98" i="3"/>
  <c r="X98" i="3"/>
  <c r="W98" i="3"/>
  <c r="V98" i="3"/>
  <c r="U98" i="3"/>
  <c r="T98" i="3"/>
  <c r="Q98" i="3"/>
  <c r="O98" i="3"/>
  <c r="N98" i="3"/>
  <c r="M98" i="3"/>
  <c r="L98" i="3"/>
  <c r="K98" i="3"/>
  <c r="J98" i="3"/>
  <c r="I98" i="3"/>
  <c r="H98" i="3"/>
  <c r="G98" i="3"/>
  <c r="C98" i="3"/>
  <c r="B98" i="3"/>
  <c r="AP97" i="3"/>
  <c r="X97" i="3"/>
  <c r="W97" i="3"/>
  <c r="V97" i="3"/>
  <c r="U97" i="3"/>
  <c r="T97" i="3"/>
  <c r="Q97" i="3"/>
  <c r="O97" i="3"/>
  <c r="N97" i="3"/>
  <c r="M97" i="3"/>
  <c r="L97" i="3"/>
  <c r="K97" i="3"/>
  <c r="J97" i="3"/>
  <c r="I97" i="3"/>
  <c r="H97" i="3"/>
  <c r="G97" i="3"/>
  <c r="C97" i="3"/>
  <c r="B97" i="3"/>
  <c r="AP96" i="3"/>
  <c r="X96" i="3"/>
  <c r="W96" i="3"/>
  <c r="V96" i="3"/>
  <c r="U96" i="3"/>
  <c r="T96" i="3"/>
  <c r="Q96" i="3"/>
  <c r="O96" i="3"/>
  <c r="N96" i="3"/>
  <c r="M96" i="3"/>
  <c r="L96" i="3"/>
  <c r="K96" i="3"/>
  <c r="I96" i="3"/>
  <c r="H96" i="3"/>
  <c r="G96" i="3"/>
  <c r="C96" i="3"/>
  <c r="B96" i="3"/>
  <c r="AP95" i="3"/>
  <c r="X95" i="3"/>
  <c r="W95" i="3"/>
  <c r="V95" i="3"/>
  <c r="U95" i="3"/>
  <c r="T95" i="3"/>
  <c r="Q95" i="3"/>
  <c r="O95" i="3"/>
  <c r="N95" i="3"/>
  <c r="M95" i="3"/>
  <c r="L95" i="3"/>
  <c r="K95" i="3"/>
  <c r="J95" i="3"/>
  <c r="I95" i="3"/>
  <c r="H95" i="3"/>
  <c r="G95" i="3"/>
  <c r="C95" i="3"/>
  <c r="B95" i="3"/>
  <c r="AP94" i="3"/>
  <c r="X94" i="3"/>
  <c r="W94" i="3"/>
  <c r="V94" i="3"/>
  <c r="U94" i="3"/>
  <c r="T94" i="3"/>
  <c r="Q94" i="3"/>
  <c r="O94" i="3"/>
  <c r="N94" i="3"/>
  <c r="M94" i="3"/>
  <c r="L94" i="3"/>
  <c r="K94" i="3"/>
  <c r="J94" i="3"/>
  <c r="I94" i="3"/>
  <c r="H94" i="3"/>
  <c r="G94" i="3"/>
  <c r="C94" i="3"/>
  <c r="B94" i="3"/>
  <c r="AP93" i="3"/>
  <c r="X93" i="3"/>
  <c r="W93" i="3"/>
  <c r="V93" i="3"/>
  <c r="U93" i="3"/>
  <c r="T93" i="3"/>
  <c r="Q93" i="3"/>
  <c r="O93" i="3"/>
  <c r="N93" i="3"/>
  <c r="M93" i="3"/>
  <c r="L93" i="3"/>
  <c r="K93" i="3"/>
  <c r="J93" i="3"/>
  <c r="I93" i="3"/>
  <c r="H93" i="3"/>
  <c r="G93" i="3"/>
  <c r="C93" i="3"/>
  <c r="B93" i="3"/>
  <c r="AP92" i="3"/>
  <c r="X92" i="3"/>
  <c r="W92" i="3"/>
  <c r="V92" i="3"/>
  <c r="U92" i="3"/>
  <c r="T92" i="3"/>
  <c r="Q92" i="3"/>
  <c r="O92" i="3"/>
  <c r="N92" i="3"/>
  <c r="M92" i="3"/>
  <c r="L92" i="3"/>
  <c r="K92" i="3"/>
  <c r="J92" i="3"/>
  <c r="I92" i="3"/>
  <c r="H92" i="3"/>
  <c r="G92" i="3"/>
  <c r="C92" i="3"/>
  <c r="B92" i="3"/>
  <c r="AP91" i="3"/>
  <c r="X91" i="3"/>
  <c r="W91" i="3"/>
  <c r="V91" i="3"/>
  <c r="U91" i="3"/>
  <c r="T91" i="3"/>
  <c r="Q91" i="3"/>
  <c r="O91" i="3"/>
  <c r="N91" i="3"/>
  <c r="M91" i="3"/>
  <c r="L91" i="3"/>
  <c r="K91" i="3"/>
  <c r="J91" i="3"/>
  <c r="I91" i="3"/>
  <c r="H91" i="3"/>
  <c r="G91" i="3"/>
  <c r="C91" i="3"/>
  <c r="B91" i="3"/>
  <c r="AP90" i="3"/>
  <c r="X90" i="3"/>
  <c r="W90" i="3"/>
  <c r="V90" i="3"/>
  <c r="U90" i="3"/>
  <c r="T90" i="3"/>
  <c r="Q90" i="3"/>
  <c r="O90" i="3"/>
  <c r="N90" i="3"/>
  <c r="M90" i="3"/>
  <c r="L90" i="3"/>
  <c r="K90" i="3"/>
  <c r="J90" i="3"/>
  <c r="I90" i="3"/>
  <c r="H90" i="3"/>
  <c r="G90" i="3"/>
  <c r="D90" i="3"/>
  <c r="C90" i="3"/>
  <c r="B90" i="3"/>
  <c r="AP89" i="3"/>
  <c r="X89" i="3"/>
  <c r="W89" i="3"/>
  <c r="V89" i="3"/>
  <c r="U89" i="3"/>
  <c r="T89" i="3"/>
  <c r="Q89" i="3"/>
  <c r="O89" i="3"/>
  <c r="N89" i="3"/>
  <c r="M89" i="3"/>
  <c r="L89" i="3"/>
  <c r="K89" i="3"/>
  <c r="J89" i="3"/>
  <c r="I89" i="3"/>
  <c r="H89" i="3"/>
  <c r="G89" i="3"/>
  <c r="C89" i="3"/>
  <c r="B89" i="3"/>
  <c r="AP88" i="3"/>
  <c r="X88" i="3"/>
  <c r="W88" i="3"/>
  <c r="V88" i="3"/>
  <c r="U88" i="3"/>
  <c r="T88" i="3"/>
  <c r="Q88" i="3"/>
  <c r="O88" i="3"/>
  <c r="N88" i="3"/>
  <c r="M88" i="3"/>
  <c r="L88" i="3"/>
  <c r="K88" i="3"/>
  <c r="J88" i="3"/>
  <c r="I88" i="3"/>
  <c r="H88" i="3"/>
  <c r="G88" i="3"/>
  <c r="D88" i="3"/>
  <c r="C88" i="3"/>
  <c r="B88" i="3"/>
  <c r="AP87" i="3"/>
  <c r="X87" i="3"/>
  <c r="W87" i="3"/>
  <c r="V87" i="3"/>
  <c r="U87" i="3"/>
  <c r="T87" i="3"/>
  <c r="Q87" i="3"/>
  <c r="O87" i="3"/>
  <c r="N87" i="3"/>
  <c r="M87" i="3"/>
  <c r="L87" i="3"/>
  <c r="K87" i="3"/>
  <c r="J87" i="3"/>
  <c r="I87" i="3"/>
  <c r="H87" i="3"/>
  <c r="G87" i="3"/>
  <c r="D87" i="3"/>
  <c r="C87" i="3"/>
  <c r="B87" i="3"/>
  <c r="AP86" i="3"/>
  <c r="X86" i="3"/>
  <c r="W86" i="3"/>
  <c r="V86" i="3"/>
  <c r="U86" i="3"/>
  <c r="T86" i="3"/>
  <c r="Q86" i="3"/>
  <c r="O86" i="3"/>
  <c r="N86" i="3"/>
  <c r="M86" i="3"/>
  <c r="L86" i="3"/>
  <c r="K86" i="3"/>
  <c r="J86" i="3"/>
  <c r="I86" i="3"/>
  <c r="H86" i="3"/>
  <c r="G86" i="3"/>
  <c r="C86" i="3"/>
  <c r="B86" i="3"/>
  <c r="AP85" i="3"/>
  <c r="X85" i="3"/>
  <c r="W85" i="3"/>
  <c r="V85" i="3"/>
  <c r="U85" i="3"/>
  <c r="T85" i="3"/>
  <c r="Q85" i="3"/>
  <c r="O85" i="3"/>
  <c r="N85" i="3"/>
  <c r="M85" i="3"/>
  <c r="L85" i="3"/>
  <c r="K85" i="3"/>
  <c r="J85" i="3"/>
  <c r="I85" i="3"/>
  <c r="H85" i="3"/>
  <c r="G85" i="3"/>
  <c r="C85" i="3"/>
  <c r="B85" i="3"/>
  <c r="AP84" i="3"/>
  <c r="X84" i="3"/>
  <c r="W84" i="3"/>
  <c r="V84" i="3"/>
  <c r="U84" i="3"/>
  <c r="T84" i="3"/>
  <c r="Q84" i="3"/>
  <c r="O84" i="3"/>
  <c r="N84" i="3"/>
  <c r="M84" i="3"/>
  <c r="L84" i="3"/>
  <c r="K84" i="3"/>
  <c r="J84" i="3"/>
  <c r="I84" i="3"/>
  <c r="H84" i="3"/>
  <c r="G84" i="3"/>
  <c r="C84" i="3"/>
  <c r="B84" i="3"/>
  <c r="AP83" i="3"/>
  <c r="X83" i="3"/>
  <c r="W83" i="3"/>
  <c r="V83" i="3"/>
  <c r="U83" i="3"/>
  <c r="T83" i="3"/>
  <c r="Q83" i="3"/>
  <c r="O83" i="3"/>
  <c r="N83" i="3"/>
  <c r="M83" i="3"/>
  <c r="L83" i="3"/>
  <c r="K83" i="3"/>
  <c r="J83" i="3"/>
  <c r="I83" i="3"/>
  <c r="H83" i="3"/>
  <c r="G83" i="3"/>
  <c r="C83" i="3"/>
  <c r="B83" i="3"/>
  <c r="AP82" i="3"/>
  <c r="X82" i="3"/>
  <c r="W82" i="3"/>
  <c r="V82" i="3"/>
  <c r="U82" i="3"/>
  <c r="T82" i="3"/>
  <c r="Q82" i="3"/>
  <c r="O82" i="3"/>
  <c r="N82" i="3"/>
  <c r="M82" i="3"/>
  <c r="L82" i="3"/>
  <c r="K82" i="3"/>
  <c r="J82" i="3"/>
  <c r="I82" i="3"/>
  <c r="H82" i="3"/>
  <c r="G82" i="3"/>
  <c r="B82" i="3"/>
  <c r="X81" i="3"/>
  <c r="W81" i="3"/>
  <c r="V81" i="3"/>
  <c r="U81" i="3"/>
  <c r="T81" i="3"/>
  <c r="Q81" i="3"/>
  <c r="O81" i="3"/>
  <c r="N81" i="3"/>
  <c r="M81" i="3"/>
  <c r="L81" i="3"/>
  <c r="K81" i="3"/>
  <c r="J81" i="3"/>
  <c r="I81" i="3"/>
  <c r="H81" i="3"/>
  <c r="G81" i="3"/>
  <c r="C81" i="3"/>
  <c r="B81" i="3"/>
  <c r="X80" i="3"/>
  <c r="W80" i="3"/>
  <c r="V80" i="3"/>
  <c r="U80" i="3"/>
  <c r="T80" i="3"/>
  <c r="Q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X79" i="3"/>
  <c r="W79" i="3"/>
  <c r="V79" i="3"/>
  <c r="U79" i="3"/>
  <c r="T79" i="3"/>
  <c r="Q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X78" i="3"/>
  <c r="W78" i="3"/>
  <c r="V78" i="3"/>
  <c r="U78" i="3"/>
  <c r="T78" i="3"/>
  <c r="Q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X77" i="3"/>
  <c r="W77" i="3"/>
  <c r="V77" i="3"/>
  <c r="U77" i="3"/>
  <c r="T77" i="3"/>
  <c r="Q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X76" i="3"/>
  <c r="W76" i="3"/>
  <c r="V76" i="3"/>
  <c r="U76" i="3"/>
  <c r="T76" i="3"/>
  <c r="Q76" i="3"/>
  <c r="O76" i="3"/>
  <c r="N76" i="3"/>
  <c r="M76" i="3"/>
  <c r="L76" i="3"/>
  <c r="K76" i="3"/>
  <c r="J76" i="3"/>
  <c r="I76" i="3"/>
  <c r="H76" i="3"/>
  <c r="G76" i="3"/>
  <c r="D76" i="3"/>
  <c r="C76" i="3"/>
  <c r="B76" i="3"/>
  <c r="X75" i="3"/>
  <c r="W75" i="3"/>
  <c r="V75" i="3"/>
  <c r="U75" i="3"/>
  <c r="T75" i="3"/>
  <c r="Q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X74" i="3"/>
  <c r="W74" i="3"/>
  <c r="V74" i="3"/>
  <c r="U74" i="3"/>
  <c r="T74" i="3"/>
  <c r="Q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X73" i="3"/>
  <c r="W73" i="3"/>
  <c r="V73" i="3"/>
  <c r="U73" i="3"/>
  <c r="T73" i="3"/>
  <c r="Q73" i="3"/>
  <c r="O73" i="3"/>
  <c r="N73" i="3"/>
  <c r="M73" i="3"/>
  <c r="L73" i="3"/>
  <c r="K73" i="3"/>
  <c r="J73" i="3"/>
  <c r="I73" i="3"/>
  <c r="H73" i="3"/>
  <c r="G73" i="3"/>
  <c r="C73" i="3"/>
  <c r="B73" i="3"/>
  <c r="X72" i="3"/>
  <c r="W72" i="3"/>
  <c r="V72" i="3"/>
  <c r="U72" i="3"/>
  <c r="T72" i="3"/>
  <c r="Q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X71" i="3"/>
  <c r="W71" i="3"/>
  <c r="V71" i="3"/>
  <c r="U71" i="3"/>
  <c r="T71" i="3"/>
  <c r="Q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X70" i="3"/>
  <c r="W70" i="3"/>
  <c r="V70" i="3"/>
  <c r="U70" i="3"/>
  <c r="T70" i="3"/>
  <c r="Q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X69" i="3"/>
  <c r="W69" i="3"/>
  <c r="V69" i="3"/>
  <c r="U69" i="3"/>
  <c r="T69" i="3"/>
  <c r="Q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X68" i="3"/>
  <c r="W68" i="3"/>
  <c r="V68" i="3"/>
  <c r="U68" i="3"/>
  <c r="T68" i="3"/>
  <c r="Q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X67" i="3"/>
  <c r="W67" i="3"/>
  <c r="V67" i="3"/>
  <c r="U67" i="3"/>
  <c r="T67" i="3"/>
  <c r="Q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X66" i="3"/>
  <c r="W66" i="3"/>
  <c r="V66" i="3"/>
  <c r="U66" i="3"/>
  <c r="T66" i="3"/>
  <c r="Q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X65" i="3"/>
  <c r="W65" i="3"/>
  <c r="V65" i="3"/>
  <c r="U65" i="3"/>
  <c r="T65" i="3"/>
  <c r="Q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X64" i="3"/>
  <c r="W64" i="3"/>
  <c r="V64" i="3"/>
  <c r="U64" i="3"/>
  <c r="T64" i="3"/>
  <c r="Q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X63" i="3"/>
  <c r="W63" i="3"/>
  <c r="V63" i="3"/>
  <c r="U63" i="3"/>
  <c r="T63" i="3"/>
  <c r="Q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X62" i="3"/>
  <c r="W62" i="3"/>
  <c r="V62" i="3"/>
  <c r="U62" i="3"/>
  <c r="T62" i="3"/>
  <c r="Q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X61" i="3"/>
  <c r="W61" i="3"/>
  <c r="V61" i="3"/>
  <c r="U61" i="3"/>
  <c r="T61" i="3"/>
  <c r="Q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X60" i="3"/>
  <c r="W60" i="3"/>
  <c r="V60" i="3"/>
  <c r="U60" i="3"/>
  <c r="T60" i="3"/>
  <c r="Q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X59" i="3"/>
  <c r="W59" i="3"/>
  <c r="V59" i="3"/>
  <c r="U59" i="3"/>
  <c r="T59" i="3"/>
  <c r="Q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X58" i="3"/>
  <c r="W58" i="3"/>
  <c r="V58" i="3"/>
  <c r="U58" i="3"/>
  <c r="T58" i="3"/>
  <c r="Q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X57" i="3"/>
  <c r="W57" i="3"/>
  <c r="V57" i="3"/>
  <c r="U57" i="3"/>
  <c r="T57" i="3"/>
  <c r="Q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X56" i="3"/>
  <c r="W56" i="3"/>
  <c r="V56" i="3"/>
  <c r="U56" i="3"/>
  <c r="T56" i="3"/>
  <c r="Q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X55" i="3"/>
  <c r="W55" i="3"/>
  <c r="V55" i="3"/>
  <c r="U55" i="3"/>
  <c r="T55" i="3"/>
  <c r="Q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X54" i="3"/>
  <c r="W54" i="3"/>
  <c r="V54" i="3"/>
  <c r="U54" i="3"/>
  <c r="T54" i="3"/>
  <c r="Q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X53" i="3"/>
  <c r="W53" i="3"/>
  <c r="V53" i="3"/>
  <c r="U53" i="3"/>
  <c r="T53" i="3"/>
  <c r="Q53" i="3"/>
  <c r="O53" i="3"/>
  <c r="N53" i="3"/>
  <c r="M53" i="3"/>
  <c r="L53" i="3"/>
  <c r="K53" i="3"/>
  <c r="J53" i="3"/>
  <c r="I53" i="3"/>
  <c r="H53" i="3"/>
  <c r="G53" i="3"/>
  <c r="C53" i="3"/>
  <c r="B53" i="3"/>
  <c r="X52" i="3"/>
  <c r="W52" i="3"/>
  <c r="V52" i="3"/>
  <c r="U52" i="3"/>
  <c r="T52" i="3"/>
  <c r="Q52" i="3"/>
  <c r="O52" i="3"/>
  <c r="N52" i="3"/>
  <c r="M52" i="3"/>
  <c r="L52" i="3"/>
  <c r="K52" i="3"/>
  <c r="J52" i="3"/>
  <c r="I52" i="3"/>
  <c r="H52" i="3"/>
  <c r="G52" i="3"/>
  <c r="C52" i="3"/>
  <c r="B52" i="3"/>
  <c r="X51" i="3"/>
  <c r="W51" i="3"/>
  <c r="V51" i="3"/>
  <c r="U51" i="3"/>
  <c r="T51" i="3"/>
  <c r="Q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X50" i="3"/>
  <c r="W50" i="3"/>
  <c r="V50" i="3"/>
  <c r="U50" i="3"/>
  <c r="T50" i="3"/>
  <c r="Q50" i="3"/>
  <c r="O50" i="3"/>
  <c r="N50" i="3"/>
  <c r="M50" i="3"/>
  <c r="L50" i="3"/>
  <c r="K50" i="3"/>
  <c r="J50" i="3"/>
  <c r="I50" i="3"/>
  <c r="H50" i="3"/>
  <c r="F50" i="3" s="1"/>
  <c r="G50" i="3"/>
  <c r="C50" i="3"/>
  <c r="B50" i="3"/>
  <c r="X49" i="3"/>
  <c r="W49" i="3"/>
  <c r="V49" i="3"/>
  <c r="U49" i="3"/>
  <c r="T49" i="3"/>
  <c r="Q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X48" i="3"/>
  <c r="W48" i="3"/>
  <c r="V48" i="3"/>
  <c r="U48" i="3"/>
  <c r="T48" i="3"/>
  <c r="Q48" i="3"/>
  <c r="O48" i="3"/>
  <c r="N48" i="3"/>
  <c r="M48" i="3"/>
  <c r="L48" i="3"/>
  <c r="K48" i="3"/>
  <c r="J48" i="3"/>
  <c r="I48" i="3"/>
  <c r="H48" i="3"/>
  <c r="E48" i="3" s="1"/>
  <c r="G48" i="3"/>
  <c r="C48" i="3"/>
  <c r="B48" i="3"/>
  <c r="X47" i="3"/>
  <c r="W47" i="3"/>
  <c r="V47" i="3"/>
  <c r="U47" i="3"/>
  <c r="T47" i="3"/>
  <c r="Q47" i="3"/>
  <c r="O47" i="3"/>
  <c r="N47" i="3"/>
  <c r="M47" i="3"/>
  <c r="L47" i="3"/>
  <c r="K47" i="3"/>
  <c r="J47" i="3"/>
  <c r="I47" i="3"/>
  <c r="H47" i="3"/>
  <c r="F47" i="3" s="1"/>
  <c r="G47" i="3"/>
  <c r="C47" i="3"/>
  <c r="B47" i="3"/>
  <c r="X46" i="3"/>
  <c r="W46" i="3"/>
  <c r="V46" i="3"/>
  <c r="U46" i="3"/>
  <c r="T46" i="3"/>
  <c r="Q46" i="3"/>
  <c r="O46" i="3"/>
  <c r="N46" i="3"/>
  <c r="M46" i="3"/>
  <c r="L46" i="3"/>
  <c r="K46" i="3"/>
  <c r="J46" i="3"/>
  <c r="I46" i="3"/>
  <c r="H46" i="3"/>
  <c r="F46" i="3" s="1"/>
  <c r="G46" i="3"/>
  <c r="C46" i="3"/>
  <c r="B46" i="3"/>
  <c r="X45" i="3"/>
  <c r="W45" i="3"/>
  <c r="V45" i="3"/>
  <c r="U45" i="3"/>
  <c r="T45" i="3"/>
  <c r="Q45" i="3"/>
  <c r="O45" i="3"/>
  <c r="N45" i="3"/>
  <c r="M45" i="3"/>
  <c r="L45" i="3"/>
  <c r="K45" i="3"/>
  <c r="J45" i="3"/>
  <c r="I45" i="3"/>
  <c r="H45" i="3"/>
  <c r="G45" i="3"/>
  <c r="E45" i="3"/>
  <c r="D45" i="3"/>
  <c r="C45" i="3"/>
  <c r="B45" i="3"/>
  <c r="X44" i="3"/>
  <c r="W44" i="3"/>
  <c r="V44" i="3"/>
  <c r="U44" i="3"/>
  <c r="T44" i="3"/>
  <c r="Q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X43" i="3"/>
  <c r="W43" i="3"/>
  <c r="V43" i="3"/>
  <c r="U43" i="3"/>
  <c r="T43" i="3"/>
  <c r="Q43" i="3"/>
  <c r="O43" i="3"/>
  <c r="N43" i="3"/>
  <c r="M43" i="3"/>
  <c r="L43" i="3"/>
  <c r="K43" i="3"/>
  <c r="J43" i="3"/>
  <c r="I43" i="3"/>
  <c r="H43" i="3"/>
  <c r="G43" i="3"/>
  <c r="C43" i="3"/>
  <c r="B43" i="3"/>
  <c r="X42" i="3"/>
  <c r="W42" i="3"/>
  <c r="V42" i="3"/>
  <c r="U42" i="3"/>
  <c r="T42" i="3"/>
  <c r="Q42" i="3"/>
  <c r="O42" i="3"/>
  <c r="N42" i="3"/>
  <c r="M42" i="3"/>
  <c r="L42" i="3"/>
  <c r="K42" i="3"/>
  <c r="J42" i="3"/>
  <c r="I42" i="3"/>
  <c r="H42" i="3"/>
  <c r="F42" i="3" s="1"/>
  <c r="G42" i="3"/>
  <c r="C42" i="3"/>
  <c r="B42" i="3"/>
  <c r="X41" i="3"/>
  <c r="W41" i="3"/>
  <c r="V41" i="3"/>
  <c r="U41" i="3"/>
  <c r="T41" i="3"/>
  <c r="Q41" i="3"/>
  <c r="O41" i="3"/>
  <c r="N41" i="3"/>
  <c r="M41" i="3"/>
  <c r="L41" i="3"/>
  <c r="K41" i="3"/>
  <c r="J41" i="3"/>
  <c r="I41" i="3"/>
  <c r="H41" i="3"/>
  <c r="G41" i="3"/>
  <c r="D41" i="3"/>
  <c r="C41" i="3"/>
  <c r="B41" i="3"/>
  <c r="X40" i="3"/>
  <c r="W40" i="3"/>
  <c r="V40" i="3"/>
  <c r="U40" i="3"/>
  <c r="T40" i="3"/>
  <c r="Q40" i="3"/>
  <c r="O40" i="3"/>
  <c r="N40" i="3"/>
  <c r="M40" i="3"/>
  <c r="L40" i="3"/>
  <c r="K40" i="3"/>
  <c r="J40" i="3"/>
  <c r="I40" i="3"/>
  <c r="H40" i="3"/>
  <c r="D40" i="3" s="1"/>
  <c r="G40" i="3"/>
  <c r="C40" i="3"/>
  <c r="B40" i="3"/>
  <c r="X39" i="3"/>
  <c r="W39" i="3"/>
  <c r="V39" i="3"/>
  <c r="U39" i="3"/>
  <c r="T39" i="3"/>
  <c r="Q39" i="3"/>
  <c r="O39" i="3"/>
  <c r="N39" i="3"/>
  <c r="M39" i="3"/>
  <c r="L39" i="3"/>
  <c r="K39" i="3"/>
  <c r="J39" i="3"/>
  <c r="I39" i="3"/>
  <c r="H39" i="3"/>
  <c r="E39" i="3" s="1"/>
  <c r="G39" i="3"/>
  <c r="C39" i="3"/>
  <c r="B39" i="3"/>
  <c r="X38" i="3"/>
  <c r="W38" i="3"/>
  <c r="V38" i="3"/>
  <c r="U38" i="3"/>
  <c r="T38" i="3"/>
  <c r="Q38" i="3"/>
  <c r="O38" i="3"/>
  <c r="N38" i="3"/>
  <c r="M38" i="3"/>
  <c r="L38" i="3"/>
  <c r="K38" i="3"/>
  <c r="J38" i="3"/>
  <c r="I38" i="3"/>
  <c r="H38" i="3"/>
  <c r="F38" i="3" s="1"/>
  <c r="G38" i="3"/>
  <c r="C38" i="3"/>
  <c r="B38" i="3"/>
  <c r="X37" i="3"/>
  <c r="W37" i="3"/>
  <c r="V37" i="3"/>
  <c r="U37" i="3"/>
  <c r="T37" i="3"/>
  <c r="Q37" i="3"/>
  <c r="O37" i="3"/>
  <c r="N37" i="3"/>
  <c r="M37" i="3"/>
  <c r="L37" i="3"/>
  <c r="K37" i="3"/>
  <c r="J37" i="3"/>
  <c r="I37" i="3"/>
  <c r="H37" i="3"/>
  <c r="F37" i="3" s="1"/>
  <c r="G37" i="3"/>
  <c r="C37" i="3"/>
  <c r="B37" i="3"/>
  <c r="X36" i="3"/>
  <c r="W36" i="3"/>
  <c r="V36" i="3"/>
  <c r="U36" i="3"/>
  <c r="T36" i="3"/>
  <c r="Q36" i="3"/>
  <c r="O36" i="3"/>
  <c r="N36" i="3"/>
  <c r="M36" i="3"/>
  <c r="L36" i="3"/>
  <c r="K36" i="3"/>
  <c r="J36" i="3"/>
  <c r="I36" i="3"/>
  <c r="H36" i="3"/>
  <c r="E36" i="3" s="1"/>
  <c r="G36" i="3"/>
  <c r="F36" i="3"/>
  <c r="D36" i="3"/>
  <c r="C36" i="3"/>
  <c r="B36" i="3"/>
  <c r="X35" i="3"/>
  <c r="W35" i="3"/>
  <c r="V35" i="3"/>
  <c r="U35" i="3"/>
  <c r="T35" i="3"/>
  <c r="Q35" i="3"/>
  <c r="O35" i="3"/>
  <c r="N35" i="3"/>
  <c r="M35" i="3"/>
  <c r="L35" i="3"/>
  <c r="K35" i="3"/>
  <c r="J35" i="3"/>
  <c r="I35" i="3"/>
  <c r="H35" i="3"/>
  <c r="F35" i="3" s="1"/>
  <c r="G35" i="3"/>
  <c r="C35" i="3"/>
  <c r="B35" i="3"/>
  <c r="X34" i="3"/>
  <c r="W34" i="3"/>
  <c r="V34" i="3"/>
  <c r="U34" i="3"/>
  <c r="T34" i="3"/>
  <c r="Q34" i="3"/>
  <c r="O34" i="3"/>
  <c r="N34" i="3"/>
  <c r="M34" i="3"/>
  <c r="L34" i="3"/>
  <c r="K34" i="3"/>
  <c r="J34" i="3"/>
  <c r="I34" i="3"/>
  <c r="H34" i="3"/>
  <c r="F34" i="3" s="1"/>
  <c r="G34" i="3"/>
  <c r="D34" i="3"/>
  <c r="C34" i="3"/>
  <c r="B34" i="3"/>
  <c r="X33" i="3"/>
  <c r="W33" i="3"/>
  <c r="V33" i="3"/>
  <c r="U33" i="3"/>
  <c r="T33" i="3"/>
  <c r="Q33" i="3"/>
  <c r="O33" i="3"/>
  <c r="N33" i="3"/>
  <c r="M33" i="3"/>
  <c r="L33" i="3"/>
  <c r="K33" i="3"/>
  <c r="J33" i="3"/>
  <c r="I33" i="3"/>
  <c r="H33" i="3"/>
  <c r="D33" i="3" s="1"/>
  <c r="G33" i="3"/>
  <c r="C33" i="3"/>
  <c r="B33" i="3"/>
  <c r="X32" i="3"/>
  <c r="W32" i="3"/>
  <c r="V32" i="3"/>
  <c r="U32" i="3"/>
  <c r="T32" i="3"/>
  <c r="Q32" i="3"/>
  <c r="O32" i="3"/>
  <c r="N32" i="3"/>
  <c r="M32" i="3"/>
  <c r="L32" i="3"/>
  <c r="K32" i="3"/>
  <c r="J32" i="3"/>
  <c r="I32" i="3"/>
  <c r="H32" i="3"/>
  <c r="E32" i="3" s="1"/>
  <c r="G32" i="3"/>
  <c r="C32" i="3"/>
  <c r="B32" i="3"/>
  <c r="X31" i="3"/>
  <c r="W31" i="3"/>
  <c r="V31" i="3"/>
  <c r="U31" i="3"/>
  <c r="T31" i="3"/>
  <c r="Q31" i="3"/>
  <c r="O31" i="3"/>
  <c r="N31" i="3"/>
  <c r="M31" i="3"/>
  <c r="L31" i="3"/>
  <c r="K31" i="3"/>
  <c r="J31" i="3"/>
  <c r="I31" i="3"/>
  <c r="H31" i="3"/>
  <c r="D31" i="3" s="1"/>
  <c r="G31" i="3"/>
  <c r="C31" i="3"/>
  <c r="B31" i="3"/>
  <c r="X30" i="3"/>
  <c r="W30" i="3"/>
  <c r="V30" i="3"/>
  <c r="U30" i="3"/>
  <c r="T30" i="3"/>
  <c r="Q30" i="3"/>
  <c r="O30" i="3"/>
  <c r="N30" i="3"/>
  <c r="M30" i="3"/>
  <c r="L30" i="3"/>
  <c r="K30" i="3"/>
  <c r="J30" i="3"/>
  <c r="I30" i="3"/>
  <c r="H30" i="3"/>
  <c r="F30" i="3" s="1"/>
  <c r="G30" i="3"/>
  <c r="C30" i="3"/>
  <c r="B30" i="3"/>
  <c r="X29" i="3"/>
  <c r="W29" i="3"/>
  <c r="V29" i="3"/>
  <c r="U29" i="3"/>
  <c r="T29" i="3"/>
  <c r="Q29" i="3"/>
  <c r="O29" i="3"/>
  <c r="N29" i="3"/>
  <c r="M29" i="3"/>
  <c r="L29" i="3"/>
  <c r="K29" i="3"/>
  <c r="J29" i="3"/>
  <c r="I29" i="3"/>
  <c r="H29" i="3"/>
  <c r="E29" i="3" s="1"/>
  <c r="G29" i="3"/>
  <c r="C29" i="3"/>
  <c r="B29" i="3"/>
  <c r="X28" i="3"/>
  <c r="W28" i="3"/>
  <c r="V28" i="3"/>
  <c r="U28" i="3"/>
  <c r="T28" i="3"/>
  <c r="Q28" i="3"/>
  <c r="O28" i="3"/>
  <c r="N28" i="3"/>
  <c r="M28" i="3"/>
  <c r="L28" i="3"/>
  <c r="K28" i="3"/>
  <c r="J28" i="3"/>
  <c r="I28" i="3"/>
  <c r="H28" i="3"/>
  <c r="F28" i="3" s="1"/>
  <c r="G28" i="3"/>
  <c r="C28" i="3"/>
  <c r="B28" i="3"/>
  <c r="X27" i="3"/>
  <c r="W27" i="3"/>
  <c r="V27" i="3"/>
  <c r="U27" i="3"/>
  <c r="T27" i="3"/>
  <c r="Q27" i="3"/>
  <c r="O27" i="3"/>
  <c r="N27" i="3"/>
  <c r="M27" i="3"/>
  <c r="L27" i="3"/>
  <c r="K27" i="3"/>
  <c r="J27" i="3"/>
  <c r="I27" i="3"/>
  <c r="H27" i="3"/>
  <c r="D27" i="3" s="1"/>
  <c r="G27" i="3"/>
  <c r="C27" i="3"/>
  <c r="B27" i="3"/>
  <c r="X26" i="3"/>
  <c r="W26" i="3"/>
  <c r="V26" i="3"/>
  <c r="U26" i="3"/>
  <c r="T26" i="3"/>
  <c r="Q26" i="3"/>
  <c r="O26" i="3"/>
  <c r="N26" i="3"/>
  <c r="M26" i="3"/>
  <c r="L26" i="3"/>
  <c r="K26" i="3"/>
  <c r="J26" i="3"/>
  <c r="I26" i="3"/>
  <c r="H26" i="3"/>
  <c r="E26" i="3" s="1"/>
  <c r="G26" i="3"/>
  <c r="C26" i="3"/>
  <c r="B26" i="3"/>
  <c r="X25" i="3"/>
  <c r="W25" i="3"/>
  <c r="V25" i="3"/>
  <c r="U25" i="3"/>
  <c r="T25" i="3"/>
  <c r="Q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X24" i="3"/>
  <c r="W24" i="3"/>
  <c r="V24" i="3"/>
  <c r="U24" i="3"/>
  <c r="T24" i="3"/>
  <c r="Q24" i="3"/>
  <c r="O24" i="3"/>
  <c r="N24" i="3"/>
  <c r="M24" i="3"/>
  <c r="L24" i="3"/>
  <c r="K24" i="3"/>
  <c r="J24" i="3"/>
  <c r="I24" i="3"/>
  <c r="H24" i="3"/>
  <c r="F24" i="3" s="1"/>
  <c r="G24" i="3"/>
  <c r="C24" i="3"/>
  <c r="B24" i="3"/>
  <c r="X23" i="3"/>
  <c r="W23" i="3"/>
  <c r="V23" i="3"/>
  <c r="U23" i="3"/>
  <c r="T23" i="3"/>
  <c r="Q23" i="3"/>
  <c r="O23" i="3"/>
  <c r="N23" i="3"/>
  <c r="M23" i="3"/>
  <c r="L23" i="3"/>
  <c r="K23" i="3"/>
  <c r="J23" i="3"/>
  <c r="I23" i="3"/>
  <c r="H23" i="3"/>
  <c r="D23" i="3" s="1"/>
  <c r="G23" i="3"/>
  <c r="C23" i="3"/>
  <c r="B23" i="3"/>
  <c r="X22" i="3"/>
  <c r="W22" i="3"/>
  <c r="V22" i="3"/>
  <c r="U22" i="3"/>
  <c r="T22" i="3"/>
  <c r="Q22" i="3"/>
  <c r="O22" i="3"/>
  <c r="N22" i="3"/>
  <c r="M22" i="3"/>
  <c r="L22" i="3"/>
  <c r="K22" i="3"/>
  <c r="J22" i="3"/>
  <c r="I22" i="3"/>
  <c r="H22" i="3"/>
  <c r="E22" i="3" s="1"/>
  <c r="G22" i="3"/>
  <c r="C22" i="3"/>
  <c r="B22" i="3"/>
  <c r="X21" i="3"/>
  <c r="W21" i="3"/>
  <c r="V21" i="3"/>
  <c r="U21" i="3"/>
  <c r="T21" i="3"/>
  <c r="Q21" i="3"/>
  <c r="O21" i="3"/>
  <c r="N21" i="3"/>
  <c r="M21" i="3"/>
  <c r="L21" i="3"/>
  <c r="K21" i="3"/>
  <c r="J21" i="3"/>
  <c r="I21" i="3"/>
  <c r="H21" i="3"/>
  <c r="F21" i="3" s="1"/>
  <c r="G21" i="3"/>
  <c r="C21" i="3"/>
  <c r="B21" i="3"/>
  <c r="X20" i="3"/>
  <c r="W20" i="3"/>
  <c r="V20" i="3"/>
  <c r="U20" i="3"/>
  <c r="T20" i="3"/>
  <c r="Q20" i="3"/>
  <c r="O20" i="3"/>
  <c r="N20" i="3"/>
  <c r="M20" i="3"/>
  <c r="L20" i="3"/>
  <c r="K20" i="3"/>
  <c r="J20" i="3"/>
  <c r="I20" i="3"/>
  <c r="H20" i="3"/>
  <c r="F20" i="3" s="1"/>
  <c r="G20" i="3"/>
  <c r="C20" i="3"/>
  <c r="B20" i="3"/>
  <c r="X19" i="3"/>
  <c r="W19" i="3"/>
  <c r="V19" i="3"/>
  <c r="U19" i="3"/>
  <c r="T19" i="3"/>
  <c r="Q19" i="3"/>
  <c r="O19" i="3"/>
  <c r="N19" i="3"/>
  <c r="M19" i="3"/>
  <c r="L19" i="3"/>
  <c r="K19" i="3"/>
  <c r="J19" i="3"/>
  <c r="I19" i="3"/>
  <c r="H19" i="3"/>
  <c r="F19" i="3" s="1"/>
  <c r="G19" i="3"/>
  <c r="D19" i="3"/>
  <c r="C19" i="3"/>
  <c r="B19" i="3"/>
  <c r="X18" i="3"/>
  <c r="W18" i="3"/>
  <c r="V18" i="3"/>
  <c r="U18" i="3"/>
  <c r="T18" i="3"/>
  <c r="Q18" i="3"/>
  <c r="O18" i="3"/>
  <c r="N18" i="3"/>
  <c r="M18" i="3"/>
  <c r="L18" i="3"/>
  <c r="K18" i="3"/>
  <c r="J18" i="3"/>
  <c r="I18" i="3"/>
  <c r="H18" i="3"/>
  <c r="F18" i="3" s="1"/>
  <c r="G18" i="3"/>
  <c r="C18" i="3"/>
  <c r="B18" i="3"/>
  <c r="X17" i="3"/>
  <c r="W17" i="3"/>
  <c r="V17" i="3"/>
  <c r="U17" i="3"/>
  <c r="T17" i="3"/>
  <c r="Q17" i="3"/>
  <c r="O17" i="3"/>
  <c r="N17" i="3"/>
  <c r="M17" i="3"/>
  <c r="L17" i="3"/>
  <c r="K17" i="3"/>
  <c r="J17" i="3"/>
  <c r="I17" i="3"/>
  <c r="H17" i="3"/>
  <c r="G17" i="3"/>
  <c r="C17" i="3"/>
  <c r="B17" i="3"/>
  <c r="X16" i="3"/>
  <c r="W16" i="3"/>
  <c r="V16" i="3"/>
  <c r="U16" i="3"/>
  <c r="T16" i="3"/>
  <c r="Q16" i="3"/>
  <c r="O16" i="3"/>
  <c r="N16" i="3"/>
  <c r="M16" i="3"/>
  <c r="L16" i="3"/>
  <c r="K16" i="3"/>
  <c r="J16" i="3"/>
  <c r="I16" i="3"/>
  <c r="H16" i="3"/>
  <c r="E16" i="3" s="1"/>
  <c r="G16" i="3"/>
  <c r="C16" i="3"/>
  <c r="B16" i="3"/>
  <c r="X15" i="3"/>
  <c r="W15" i="3"/>
  <c r="V15" i="3"/>
  <c r="U15" i="3"/>
  <c r="T15" i="3"/>
  <c r="Q15" i="3"/>
  <c r="O15" i="3"/>
  <c r="N15" i="3"/>
  <c r="M15" i="3"/>
  <c r="L15" i="3"/>
  <c r="K15" i="3"/>
  <c r="J15" i="3"/>
  <c r="I15" i="3"/>
  <c r="H15" i="3"/>
  <c r="F15" i="3" s="1"/>
  <c r="G15" i="3"/>
  <c r="C15" i="3"/>
  <c r="B15" i="3"/>
  <c r="X14" i="3"/>
  <c r="W14" i="3"/>
  <c r="V14" i="3"/>
  <c r="U14" i="3"/>
  <c r="T14" i="3"/>
  <c r="Q14" i="3"/>
  <c r="O14" i="3"/>
  <c r="N14" i="3"/>
  <c r="M14" i="3"/>
  <c r="L14" i="3"/>
  <c r="K14" i="3"/>
  <c r="J14" i="3"/>
  <c r="I14" i="3"/>
  <c r="H14" i="3"/>
  <c r="G14" i="3"/>
  <c r="C14" i="3"/>
  <c r="B14" i="3"/>
  <c r="X13" i="3"/>
  <c r="W13" i="3"/>
  <c r="V13" i="3"/>
  <c r="U13" i="3"/>
  <c r="T13" i="3"/>
  <c r="Q13" i="3"/>
  <c r="O13" i="3"/>
  <c r="N13" i="3"/>
  <c r="M13" i="3"/>
  <c r="L13" i="3"/>
  <c r="K13" i="3"/>
  <c r="J13" i="3"/>
  <c r="I13" i="3"/>
  <c r="H13" i="3"/>
  <c r="E13" i="3" s="1"/>
  <c r="G13" i="3"/>
  <c r="C13" i="3"/>
  <c r="B13" i="3"/>
  <c r="X12" i="3"/>
  <c r="W12" i="3"/>
  <c r="V12" i="3"/>
  <c r="U12" i="3"/>
  <c r="T12" i="3"/>
  <c r="Q12" i="3"/>
  <c r="O12" i="3"/>
  <c r="N12" i="3"/>
  <c r="M12" i="3"/>
  <c r="L12" i="3"/>
  <c r="K12" i="3"/>
  <c r="J12" i="3"/>
  <c r="I12" i="3"/>
  <c r="H12" i="3"/>
  <c r="F12" i="3" s="1"/>
  <c r="G12" i="3"/>
  <c r="C12" i="3"/>
  <c r="B12" i="3"/>
  <c r="X11" i="3"/>
  <c r="W11" i="3"/>
  <c r="V11" i="3"/>
  <c r="U11" i="3"/>
  <c r="T11" i="3"/>
  <c r="Q11" i="3"/>
  <c r="O11" i="3"/>
  <c r="N11" i="3"/>
  <c r="M11" i="3"/>
  <c r="L11" i="3"/>
  <c r="K11" i="3"/>
  <c r="J11" i="3"/>
  <c r="I11" i="3"/>
  <c r="H11" i="3"/>
  <c r="G11" i="3"/>
  <c r="C11" i="3"/>
  <c r="B11" i="3"/>
  <c r="X10" i="3"/>
  <c r="W10" i="3"/>
  <c r="V10" i="3"/>
  <c r="U10" i="3"/>
  <c r="T10" i="3"/>
  <c r="Q10" i="3"/>
  <c r="O10" i="3"/>
  <c r="N10" i="3"/>
  <c r="M10" i="3"/>
  <c r="L10" i="3"/>
  <c r="K10" i="3"/>
  <c r="J10" i="3"/>
  <c r="I10" i="3"/>
  <c r="H10" i="3"/>
  <c r="G10" i="3"/>
  <c r="C10" i="3"/>
  <c r="B10" i="3"/>
  <c r="X9" i="3"/>
  <c r="W9" i="3"/>
  <c r="V9" i="3"/>
  <c r="U9" i="3"/>
  <c r="T9" i="3"/>
  <c r="Q9" i="3"/>
  <c r="O9" i="3"/>
  <c r="N9" i="3"/>
  <c r="M9" i="3"/>
  <c r="L9" i="3"/>
  <c r="K9" i="3"/>
  <c r="J9" i="3"/>
  <c r="I9" i="3"/>
  <c r="H9" i="3"/>
  <c r="F9" i="3" s="1"/>
  <c r="G9" i="3"/>
  <c r="C9" i="3"/>
  <c r="B9" i="3"/>
  <c r="X8" i="3"/>
  <c r="W8" i="3"/>
  <c r="V8" i="3"/>
  <c r="U8" i="3"/>
  <c r="T8" i="3"/>
  <c r="Q8" i="3"/>
  <c r="O8" i="3"/>
  <c r="N8" i="3"/>
  <c r="M8" i="3"/>
  <c r="L8" i="3"/>
  <c r="K8" i="3"/>
  <c r="J8" i="3"/>
  <c r="I8" i="3"/>
  <c r="H8" i="3"/>
  <c r="D8" i="3" s="1"/>
  <c r="G8" i="3"/>
  <c r="C8" i="3"/>
  <c r="B8" i="3"/>
  <c r="X7" i="3"/>
  <c r="W7" i="3"/>
  <c r="V7" i="3"/>
  <c r="U7" i="3"/>
  <c r="T7" i="3"/>
  <c r="Q7" i="3"/>
  <c r="O7" i="3"/>
  <c r="N7" i="3"/>
  <c r="M7" i="3"/>
  <c r="L7" i="3"/>
  <c r="K7" i="3"/>
  <c r="J7" i="3"/>
  <c r="I7" i="3"/>
  <c r="H7" i="3"/>
  <c r="F7" i="3" s="1"/>
  <c r="G7" i="3"/>
  <c r="C7" i="3"/>
  <c r="B7" i="3"/>
  <c r="X6" i="3"/>
  <c r="W6" i="3"/>
  <c r="V6" i="3"/>
  <c r="U6" i="3"/>
  <c r="T6" i="3"/>
  <c r="Q6" i="3"/>
  <c r="O6" i="3"/>
  <c r="N6" i="3"/>
  <c r="M6" i="3"/>
  <c r="L6" i="3"/>
  <c r="K6" i="3"/>
  <c r="J6" i="3"/>
  <c r="I6" i="3"/>
  <c r="H6" i="3"/>
  <c r="F6" i="3" s="1"/>
  <c r="G6" i="3"/>
  <c r="C6" i="3"/>
  <c r="B6" i="3"/>
  <c r="X5" i="3"/>
  <c r="W5" i="3"/>
  <c r="V5" i="3"/>
  <c r="U5" i="3"/>
  <c r="T5" i="3"/>
  <c r="Q5" i="3"/>
  <c r="O5" i="3"/>
  <c r="N5" i="3"/>
  <c r="M5" i="3"/>
  <c r="L5" i="3"/>
  <c r="K5" i="3"/>
  <c r="J5" i="3"/>
  <c r="I5" i="3"/>
  <c r="H5" i="3"/>
  <c r="D5" i="3" s="1"/>
  <c r="G5" i="3"/>
  <c r="C5" i="3"/>
  <c r="B5" i="3"/>
  <c r="X4" i="3"/>
  <c r="W4" i="3"/>
  <c r="V4" i="3"/>
  <c r="U4" i="3"/>
  <c r="T4" i="3"/>
  <c r="Q4" i="3"/>
  <c r="O4" i="3"/>
  <c r="N4" i="3"/>
  <c r="M4" i="3"/>
  <c r="L4" i="3"/>
  <c r="K4" i="3"/>
  <c r="J4" i="3"/>
  <c r="I4" i="3"/>
  <c r="H4" i="3"/>
  <c r="E4" i="3" s="1"/>
  <c r="G4" i="3"/>
  <c r="C4" i="3"/>
  <c r="B4" i="3"/>
  <c r="X3" i="3"/>
  <c r="W3" i="3"/>
  <c r="V3" i="3"/>
  <c r="U3" i="3"/>
  <c r="T3" i="3"/>
  <c r="Q3" i="3"/>
  <c r="O3" i="3"/>
  <c r="N3" i="3"/>
  <c r="M3" i="3"/>
  <c r="L3" i="3"/>
  <c r="K3" i="3"/>
  <c r="J3" i="3"/>
  <c r="I3" i="3"/>
  <c r="H3" i="3"/>
  <c r="F3" i="3" s="1"/>
  <c r="G3" i="3"/>
  <c r="C3" i="3"/>
  <c r="B3" i="3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AA52" i="2"/>
  <c r="Z52" i="2"/>
  <c r="Y52" i="2"/>
  <c r="AA51" i="2"/>
  <c r="Z51" i="2"/>
  <c r="Y51" i="2"/>
  <c r="A51" i="2"/>
  <c r="W48" i="2"/>
  <c r="U48" i="2"/>
  <c r="S48" i="2"/>
  <c r="Q48" i="2"/>
  <c r="M48" i="2"/>
  <c r="K48" i="2"/>
  <c r="I48" i="2"/>
  <c r="G48" i="2"/>
  <c r="E48" i="2"/>
  <c r="C48" i="2"/>
  <c r="W47" i="2"/>
  <c r="U47" i="2"/>
  <c r="Q47" i="2"/>
  <c r="M47" i="2"/>
  <c r="K47" i="2"/>
  <c r="I47" i="2"/>
  <c r="G47" i="2"/>
  <c r="E47" i="2"/>
  <c r="C47" i="2"/>
  <c r="W46" i="2"/>
  <c r="U46" i="2"/>
  <c r="S46" i="2"/>
  <c r="Q46" i="2"/>
  <c r="M46" i="2"/>
  <c r="K46" i="2"/>
  <c r="I46" i="2"/>
  <c r="G46" i="2"/>
  <c r="E46" i="2"/>
  <c r="C46" i="2"/>
  <c r="W45" i="2"/>
  <c r="U45" i="2"/>
  <c r="S45" i="2"/>
  <c r="Q45" i="2"/>
  <c r="M45" i="2"/>
  <c r="K45" i="2"/>
  <c r="I45" i="2"/>
  <c r="G45" i="2"/>
  <c r="E45" i="2"/>
  <c r="C45" i="2"/>
  <c r="W44" i="2"/>
  <c r="U44" i="2"/>
  <c r="S44" i="2"/>
  <c r="Q44" i="2"/>
  <c r="M44" i="2"/>
  <c r="K44" i="2"/>
  <c r="I44" i="2"/>
  <c r="G44" i="2"/>
  <c r="E44" i="2"/>
  <c r="C44" i="2"/>
  <c r="W43" i="2"/>
  <c r="AG36" i="2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R7" i="2"/>
  <c r="J6" i="2"/>
  <c r="J7" i="2" s="1"/>
  <c r="J8" i="2" s="1"/>
  <c r="J9" i="2" s="1"/>
  <c r="J10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AV118" i="1"/>
  <c r="B118" i="1"/>
  <c r="A118" i="1"/>
  <c r="AQ117" i="1" a="1"/>
  <c r="AQ117" i="1" s="1"/>
  <c r="M117" i="1"/>
  <c r="B117" i="1"/>
  <c r="A117" i="1"/>
  <c r="AQ116" i="1" a="1"/>
  <c r="AQ116" i="1" s="1"/>
  <c r="AW116" i="1" s="1"/>
  <c r="AP116" i="1"/>
  <c r="AO116" i="1"/>
  <c r="AR116" i="1" s="1"/>
  <c r="M116" i="1"/>
  <c r="AR115" i="1"/>
  <c r="AQ115" i="1" a="1"/>
  <c r="AQ115" i="1" s="1"/>
  <c r="AW115" i="1" s="1"/>
  <c r="AO115" i="1"/>
  <c r="AN91" i="1"/>
  <c r="AM91" i="1" s="1"/>
  <c r="BA71" i="1"/>
  <c r="CH42" i="1" s="1"/>
  <c r="AZ71" i="1"/>
  <c r="CG42" i="1" s="1"/>
  <c r="AP69" i="1"/>
  <c r="AP73" i="1" s="1"/>
  <c r="AW67" i="1"/>
  <c r="BD72" i="1" s="1"/>
  <c r="CK43" i="1" s="1"/>
  <c r="AR67" i="1"/>
  <c r="BA72" i="1" s="1"/>
  <c r="CH43" i="1" s="1"/>
  <c r="AQ67" i="1"/>
  <c r="AQ73" i="1" s="1"/>
  <c r="AP67" i="1"/>
  <c r="AY72" i="1" s="1"/>
  <c r="CF43" i="1" s="1"/>
  <c r="AR66" i="1"/>
  <c r="AR72" i="1" s="1"/>
  <c r="AQ66" i="1"/>
  <c r="AP66" i="1"/>
  <c r="AR65" i="1"/>
  <c r="AQ65" i="1"/>
  <c r="AZ70" i="1" s="1"/>
  <c r="CG41" i="1" s="1"/>
  <c r="AP65" i="1"/>
  <c r="AY70" i="1" s="1"/>
  <c r="CF41" i="1" s="1"/>
  <c r="AY64" i="1"/>
  <c r="CF39" i="1" s="1"/>
  <c r="AV64" i="1"/>
  <c r="BC69" i="1" s="1"/>
  <c r="CJ40" i="1" s="1"/>
  <c r="AU64" i="1"/>
  <c r="BB69" i="1" s="1"/>
  <c r="AR64" i="1"/>
  <c r="BA69" i="1" s="1"/>
  <c r="CH40" i="1" s="1"/>
  <c r="AQ64" i="1"/>
  <c r="AZ69" i="1" s="1"/>
  <c r="CG40" i="1" s="1"/>
  <c r="AP64" i="1"/>
  <c r="AY69" i="1" s="1"/>
  <c r="CF40" i="1" s="1"/>
  <c r="AU63" i="1"/>
  <c r="BC59" i="1"/>
  <c r="CA42" i="1" s="1"/>
  <c r="K58" i="1"/>
  <c r="N60" i="1" s="1"/>
  <c r="AA59" i="1" s="1"/>
  <c r="AO57" i="1"/>
  <c r="AR54" i="1"/>
  <c r="AR60" i="1" s="1"/>
  <c r="AQ54" i="1"/>
  <c r="AQ60" i="1" s="1"/>
  <c r="AP54" i="1"/>
  <c r="AP60" i="1" s="1"/>
  <c r="AY53" i="1"/>
  <c r="AV53" i="1"/>
  <c r="AV59" i="1" s="1"/>
  <c r="BF59" i="1" s="1"/>
  <c r="CD42" i="1" s="1"/>
  <c r="AR53" i="1"/>
  <c r="AQ53" i="1"/>
  <c r="AQ59" i="1" s="1"/>
  <c r="AP53" i="1"/>
  <c r="AP59" i="1" s="1"/>
  <c r="AR52" i="1"/>
  <c r="BA58" i="1" s="1"/>
  <c r="BY41" i="1" s="1"/>
  <c r="AQ52" i="1"/>
  <c r="AZ58" i="1" s="1"/>
  <c r="BX41" i="1" s="1"/>
  <c r="AP52" i="1"/>
  <c r="AY58" i="1" s="1"/>
  <c r="BW41" i="1" s="1"/>
  <c r="AR51" i="1"/>
  <c r="AQ51" i="1"/>
  <c r="AQ57" i="1" s="1"/>
  <c r="AP51" i="1"/>
  <c r="AP57" i="1" s="1"/>
  <c r="BD48" i="1"/>
  <c r="BS43" i="1" s="1"/>
  <c r="BA48" i="1"/>
  <c r="BP43" i="1" s="1"/>
  <c r="AZ48" i="1"/>
  <c r="BO43" i="1" s="1"/>
  <c r="AY48" i="1"/>
  <c r="BN43" i="1" s="1"/>
  <c r="AR48" i="1"/>
  <c r="AQ48" i="1"/>
  <c r="AP48" i="1"/>
  <c r="BC47" i="1"/>
  <c r="BR42" i="1" s="1"/>
  <c r="BA47" i="1"/>
  <c r="AZ47" i="1"/>
  <c r="AY47" i="1"/>
  <c r="BN42" i="1" s="1"/>
  <c r="AR47" i="1"/>
  <c r="AQ47" i="1"/>
  <c r="AP47" i="1"/>
  <c r="BA46" i="1"/>
  <c r="AZ46" i="1"/>
  <c r="BO41" i="1" s="1"/>
  <c r="AY46" i="1"/>
  <c r="AR46" i="1"/>
  <c r="AQ46" i="1"/>
  <c r="AP46" i="1"/>
  <c r="BB45" i="1"/>
  <c r="BA45" i="1"/>
  <c r="BP40" i="1" s="1"/>
  <c r="AZ45" i="1"/>
  <c r="BO40" i="1" s="1"/>
  <c r="AY45" i="1"/>
  <c r="BL49" i="1" s="1"/>
  <c r="AR45" i="1"/>
  <c r="AQ45" i="1"/>
  <c r="AP45" i="1"/>
  <c r="AU44" i="1"/>
  <c r="J44" i="1"/>
  <c r="AW43" i="1"/>
  <c r="AW54" i="1" s="1"/>
  <c r="AV43" i="1"/>
  <c r="AV67" i="1" s="1"/>
  <c r="BC72" i="1" s="1"/>
  <c r="CJ43" i="1" s="1"/>
  <c r="AU43" i="1"/>
  <c r="AU54" i="1" s="1"/>
  <c r="J43" i="1"/>
  <c r="K43" i="1" s="1"/>
  <c r="BP42" i="1"/>
  <c r="BO42" i="1"/>
  <c r="AW42" i="1"/>
  <c r="AV42" i="1"/>
  <c r="AU42" i="1"/>
  <c r="BB47" i="1" s="1"/>
  <c r="BQ42" i="1" s="1"/>
  <c r="J42" i="1"/>
  <c r="BP41" i="1"/>
  <c r="BN41" i="1"/>
  <c r="AY41" i="1"/>
  <c r="AW41" i="1"/>
  <c r="BD46" i="1" s="1"/>
  <c r="BS41" i="1" s="1"/>
  <c r="AV41" i="1"/>
  <c r="BC46" i="1" s="1"/>
  <c r="BR41" i="1" s="1"/>
  <c r="AU41" i="1"/>
  <c r="AU52" i="1" s="1"/>
  <c r="J41" i="1"/>
  <c r="CI40" i="1"/>
  <c r="BQ40" i="1"/>
  <c r="AW40" i="1"/>
  <c r="BD45" i="1" s="1"/>
  <c r="BS40" i="1" s="1"/>
  <c r="AV40" i="1"/>
  <c r="BC45" i="1" s="1"/>
  <c r="BR40" i="1" s="1"/>
  <c r="AU40" i="1"/>
  <c r="CN39" i="1"/>
  <c r="CM39" i="1"/>
  <c r="CL39" i="1"/>
  <c r="CK39" i="1"/>
  <c r="CJ39" i="1"/>
  <c r="CI39" i="1"/>
  <c r="CH39" i="1"/>
  <c r="CG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N37" i="1" s="1"/>
  <c r="O39" i="1"/>
  <c r="B39" i="1" s="1"/>
  <c r="BN36" i="1"/>
  <c r="AO30" i="1"/>
  <c r="H30" i="1"/>
  <c r="BE26" i="1"/>
  <c r="BE25" i="1"/>
  <c r="BE24" i="1"/>
  <c r="BE23" i="1"/>
  <c r="BB23" i="1"/>
  <c r="BC23" i="1" s="1"/>
  <c r="AO23" i="1"/>
  <c r="AJ23" i="1"/>
  <c r="AC23" i="1"/>
  <c r="C33" i="1" s="1"/>
  <c r="BE22" i="1"/>
  <c r="AU22" i="1"/>
  <c r="Q22" i="1"/>
  <c r="E104" i="1" s="1"/>
  <c r="Q18" i="1"/>
  <c r="Q17" i="1"/>
  <c r="Q15" i="1"/>
  <c r="Q14" i="1"/>
  <c r="Q13" i="1"/>
  <c r="AG26" i="2" a="1"/>
  <c r="H28" i="2" l="1"/>
  <c r="H29" i="2" s="1"/>
  <c r="H30" i="2" s="1"/>
  <c r="H31" i="2" s="1"/>
  <c r="H32" i="2" s="1"/>
  <c r="P12" i="2"/>
  <c r="P13" i="2" s="1"/>
  <c r="P14" i="2" s="1"/>
  <c r="P15" i="2" s="1"/>
  <c r="R8" i="2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J11" i="2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Y44" i="2"/>
  <c r="Z44" i="2" s="1"/>
  <c r="O49" i="2"/>
  <c r="K49" i="2"/>
  <c r="AA46" i="2"/>
  <c r="E49" i="2"/>
  <c r="Y47" i="2"/>
  <c r="Z47" i="2" s="1"/>
  <c r="AA47" i="2"/>
  <c r="AA44" i="2"/>
  <c r="Q49" i="2"/>
  <c r="Y48" i="2"/>
  <c r="Z48" i="2" s="1"/>
  <c r="Y45" i="2"/>
  <c r="Z45" i="2" s="1"/>
  <c r="M49" i="2"/>
  <c r="D268" i="3"/>
  <c r="D290" i="3"/>
  <c r="E8" i="3"/>
  <c r="E30" i="3"/>
  <c r="F32" i="3"/>
  <c r="E151" i="3"/>
  <c r="D177" i="3"/>
  <c r="F235" i="3"/>
  <c r="E268" i="3"/>
  <c r="E290" i="3"/>
  <c r="F8" i="3"/>
  <c r="E24" i="3"/>
  <c r="F283" i="3"/>
  <c r="F151" i="3"/>
  <c r="D164" i="3"/>
  <c r="F157" i="3"/>
  <c r="E170" i="3"/>
  <c r="D206" i="3"/>
  <c r="D213" i="3"/>
  <c r="E254" i="3"/>
  <c r="D274" i="3"/>
  <c r="D254" i="3"/>
  <c r="D18" i="3"/>
  <c r="E172" i="3"/>
  <c r="E206" i="3"/>
  <c r="F230" i="3"/>
  <c r="D247" i="3"/>
  <c r="E274" i="3"/>
  <c r="E7" i="3"/>
  <c r="F16" i="3"/>
  <c r="F29" i="3"/>
  <c r="E31" i="3"/>
  <c r="D159" i="3"/>
  <c r="D284" i="3"/>
  <c r="F152" i="3"/>
  <c r="F169" i="3"/>
  <c r="E190" i="3"/>
  <c r="E212" i="3"/>
  <c r="F223" i="3"/>
  <c r="F271" i="3"/>
  <c r="E284" i="3"/>
  <c r="E262" i="3"/>
  <c r="D286" i="3"/>
  <c r="P205" i="3"/>
  <c r="E187" i="3"/>
  <c r="F224" i="3"/>
  <c r="E235" i="3"/>
  <c r="F238" i="3"/>
  <c r="D273" i="3"/>
  <c r="F278" i="3"/>
  <c r="E160" i="3"/>
  <c r="D184" i="3"/>
  <c r="E199" i="3"/>
  <c r="D232" i="3"/>
  <c r="E242" i="3"/>
  <c r="E256" i="3"/>
  <c r="F31" i="3"/>
  <c r="F160" i="3"/>
  <c r="E184" i="3"/>
  <c r="F199" i="3"/>
  <c r="D211" i="3"/>
  <c r="D218" i="3"/>
  <c r="E232" i="3"/>
  <c r="D249" i="3"/>
  <c r="F256" i="3"/>
  <c r="D277" i="3"/>
  <c r="D291" i="3"/>
  <c r="E157" i="3"/>
  <c r="E175" i="3"/>
  <c r="F218" i="3"/>
  <c r="F244" i="3"/>
  <c r="E272" i="3"/>
  <c r="F40" i="3"/>
  <c r="D50" i="3"/>
  <c r="D224" i="3"/>
  <c r="D238" i="3"/>
  <c r="D285" i="3"/>
  <c r="P141" i="3"/>
  <c r="F26" i="3"/>
  <c r="D163" i="3"/>
  <c r="E200" i="3"/>
  <c r="F205" i="3"/>
  <c r="E250" i="3"/>
  <c r="F259" i="3"/>
  <c r="F266" i="3"/>
  <c r="E278" i="3"/>
  <c r="F285" i="3"/>
  <c r="F292" i="3"/>
  <c r="P22" i="3"/>
  <c r="P24" i="3"/>
  <c r="P159" i="3"/>
  <c r="D170" i="3"/>
  <c r="D175" i="3"/>
  <c r="D200" i="3"/>
  <c r="D214" i="3"/>
  <c r="D236" i="3"/>
  <c r="D250" i="3"/>
  <c r="D272" i="3"/>
  <c r="E283" i="3"/>
  <c r="F289" i="3"/>
  <c r="E292" i="3"/>
  <c r="F300" i="3"/>
  <c r="P44" i="3"/>
  <c r="P189" i="3"/>
  <c r="D6" i="3"/>
  <c r="E20" i="3"/>
  <c r="D28" i="3"/>
  <c r="P30" i="3"/>
  <c r="P40" i="3"/>
  <c r="P48" i="3"/>
  <c r="E164" i="3"/>
  <c r="F178" i="3"/>
  <c r="P183" i="3"/>
  <c r="D194" i="3"/>
  <c r="D205" i="3"/>
  <c r="D208" i="3"/>
  <c r="D230" i="3"/>
  <c r="E241" i="3"/>
  <c r="D244" i="3"/>
  <c r="D266" i="3"/>
  <c r="E277" i="3"/>
  <c r="D280" i="3"/>
  <c r="E286" i="3"/>
  <c r="D297" i="3"/>
  <c r="P10" i="3"/>
  <c r="D30" i="3"/>
  <c r="P36" i="3"/>
  <c r="E40" i="3"/>
  <c r="P42" i="3"/>
  <c r="P63" i="3"/>
  <c r="P66" i="3"/>
  <c r="P69" i="3"/>
  <c r="P118" i="3"/>
  <c r="P120" i="3"/>
  <c r="P122" i="3"/>
  <c r="P132" i="3"/>
  <c r="P142" i="3"/>
  <c r="P146" i="3"/>
  <c r="P153" i="3"/>
  <c r="D172" i="3"/>
  <c r="F183" i="3"/>
  <c r="D219" i="3"/>
  <c r="D255" i="3"/>
  <c r="E280" i="3"/>
  <c r="D15" i="3"/>
  <c r="P19" i="3"/>
  <c r="P23" i="3"/>
  <c r="P52" i="3"/>
  <c r="P92" i="3"/>
  <c r="E158" i="3"/>
  <c r="E163" i="3"/>
  <c r="D166" i="3"/>
  <c r="P177" i="3"/>
  <c r="D188" i="3"/>
  <c r="D193" i="3"/>
  <c r="D196" i="3"/>
  <c r="D229" i="3"/>
  <c r="D265" i="3"/>
  <c r="P5" i="3"/>
  <c r="P13" i="3"/>
  <c r="E15" i="3"/>
  <c r="E23" i="3"/>
  <c r="P157" i="3"/>
  <c r="E166" i="3"/>
  <c r="E188" i="3"/>
  <c r="E193" i="3"/>
  <c r="E196" i="3"/>
  <c r="E229" i="3"/>
  <c r="E265" i="3"/>
  <c r="P17" i="3"/>
  <c r="E5" i="3"/>
  <c r="P7" i="3"/>
  <c r="E19" i="3"/>
  <c r="F23" i="3"/>
  <c r="P29" i="3"/>
  <c r="P49" i="3"/>
  <c r="P56" i="3"/>
  <c r="P68" i="3"/>
  <c r="E182" i="3"/>
  <c r="D223" i="3"/>
  <c r="D243" i="3"/>
  <c r="D259" i="3"/>
  <c r="D279" i="3"/>
  <c r="AL23" i="1"/>
  <c r="P196" i="3"/>
  <c r="F5" i="3"/>
  <c r="D7" i="3"/>
  <c r="P11" i="3"/>
  <c r="P27" i="3"/>
  <c r="D29" i="3"/>
  <c r="P171" i="3"/>
  <c r="D187" i="3"/>
  <c r="D190" i="3"/>
  <c r="P201" i="3"/>
  <c r="D212" i="3"/>
  <c r="D226" i="3"/>
  <c r="D248" i="3"/>
  <c r="D262" i="3"/>
  <c r="D295" i="3"/>
  <c r="P39" i="3"/>
  <c r="P45" i="3"/>
  <c r="P51" i="3"/>
  <c r="P105" i="3"/>
  <c r="P117" i="3"/>
  <c r="P129" i="3"/>
  <c r="P151" i="3"/>
  <c r="P165" i="3"/>
  <c r="D176" i="3"/>
  <c r="D181" i="3"/>
  <c r="D217" i="3"/>
  <c r="E226" i="3"/>
  <c r="D253" i="3"/>
  <c r="E295" i="3"/>
  <c r="D298" i="3"/>
  <c r="P35" i="3"/>
  <c r="P89" i="3"/>
  <c r="D154" i="3"/>
  <c r="F165" i="3"/>
  <c r="E176" i="3"/>
  <c r="E181" i="3"/>
  <c r="P195" i="3"/>
  <c r="E217" i="3"/>
  <c r="E253" i="3"/>
  <c r="D289" i="3"/>
  <c r="E298" i="3"/>
  <c r="D300" i="3"/>
  <c r="P33" i="3"/>
  <c r="P61" i="3"/>
  <c r="P73" i="3"/>
  <c r="P91" i="3"/>
  <c r="E154" i="3"/>
  <c r="D231" i="3"/>
  <c r="D267" i="3"/>
  <c r="AR70" i="1"/>
  <c r="AZ57" i="1"/>
  <c r="BX40" i="1" s="1"/>
  <c r="BN40" i="1"/>
  <c r="AY57" i="1"/>
  <c r="BW40" i="1" s="1"/>
  <c r="AP58" i="1"/>
  <c r="AQ58" i="1"/>
  <c r="AU53" i="1"/>
  <c r="AU59" i="1" s="1"/>
  <c r="BE59" i="1" s="1"/>
  <c r="CC42" i="1" s="1"/>
  <c r="AY59" i="1"/>
  <c r="BW42" i="1" s="1"/>
  <c r="AU66" i="1"/>
  <c r="BD60" i="1"/>
  <c r="CB43" i="1" s="1"/>
  <c r="AW60" i="1"/>
  <c r="BG60" i="1" s="1"/>
  <c r="BL45" i="1" s="1"/>
  <c r="BA60" i="1"/>
  <c r="BY43" i="1" s="1"/>
  <c r="AV54" i="1"/>
  <c r="AZ60" i="1"/>
  <c r="BX43" i="1" s="1"/>
  <c r="AZ72" i="1"/>
  <c r="CG43" i="1" s="1"/>
  <c r="BC48" i="1"/>
  <c r="BR43" i="1" s="1"/>
  <c r="AY60" i="1"/>
  <c r="BW43" i="1" s="1"/>
  <c r="P18" i="3"/>
  <c r="D3" i="3"/>
  <c r="P3" i="3"/>
  <c r="F4" i="3"/>
  <c r="D9" i="3"/>
  <c r="P9" i="3"/>
  <c r="D12" i="3"/>
  <c r="P12" i="3"/>
  <c r="F13" i="3"/>
  <c r="D21" i="3"/>
  <c r="P21" i="3"/>
  <c r="F22" i="3"/>
  <c r="E27" i="3"/>
  <c r="E33" i="3"/>
  <c r="D38" i="3"/>
  <c r="P38" i="3"/>
  <c r="F39" i="3"/>
  <c r="D47" i="3"/>
  <c r="P47" i="3"/>
  <c r="F48" i="3"/>
  <c r="P84" i="3"/>
  <c r="P100" i="3"/>
  <c r="P116" i="3"/>
  <c r="P145" i="3"/>
  <c r="P149" i="3"/>
  <c r="D153" i="3"/>
  <c r="P163" i="3"/>
  <c r="D171" i="3"/>
  <c r="P181" i="3"/>
  <c r="F239" i="3"/>
  <c r="E239" i="3"/>
  <c r="D239" i="3"/>
  <c r="P294" i="3"/>
  <c r="P297" i="3"/>
  <c r="E3" i="3"/>
  <c r="E9" i="3"/>
  <c r="E12" i="3"/>
  <c r="D16" i="3"/>
  <c r="P16" i="3"/>
  <c r="E21" i="3"/>
  <c r="D26" i="3"/>
  <c r="P26" i="3"/>
  <c r="F27" i="3"/>
  <c r="D32" i="3"/>
  <c r="P32" i="3"/>
  <c r="F33" i="3"/>
  <c r="E38" i="3"/>
  <c r="E47" i="3"/>
  <c r="P55" i="3"/>
  <c r="P60" i="3"/>
  <c r="P65" i="3"/>
  <c r="P79" i="3"/>
  <c r="P96" i="3"/>
  <c r="P102" i="3"/>
  <c r="P127" i="3"/>
  <c r="P131" i="3"/>
  <c r="P147" i="3"/>
  <c r="F153" i="3"/>
  <c r="P156" i="3"/>
  <c r="P160" i="3"/>
  <c r="E161" i="3"/>
  <c r="D161" i="3"/>
  <c r="F171" i="3"/>
  <c r="P174" i="3"/>
  <c r="P178" i="3"/>
  <c r="E179" i="3"/>
  <c r="D179" i="3"/>
  <c r="F189" i="3"/>
  <c r="E189" i="3"/>
  <c r="F192" i="3"/>
  <c r="E192" i="3"/>
  <c r="D192" i="3"/>
  <c r="P198" i="3"/>
  <c r="P208" i="3"/>
  <c r="E209" i="3"/>
  <c r="D209" i="3"/>
  <c r="F233" i="3"/>
  <c r="E233" i="3"/>
  <c r="D233" i="3"/>
  <c r="P252" i="3"/>
  <c r="P8" i="3"/>
  <c r="D20" i="3"/>
  <c r="P20" i="3"/>
  <c r="D37" i="3"/>
  <c r="P37" i="3"/>
  <c r="D42" i="3"/>
  <c r="D46" i="3"/>
  <c r="P46" i="3"/>
  <c r="P70" i="3"/>
  <c r="P74" i="3"/>
  <c r="P109" i="3"/>
  <c r="P113" i="3"/>
  <c r="P140" i="3"/>
  <c r="P152" i="3"/>
  <c r="P170" i="3"/>
  <c r="P214" i="3"/>
  <c r="E215" i="3"/>
  <c r="D215" i="3"/>
  <c r="F227" i="3"/>
  <c r="E227" i="3"/>
  <c r="D227" i="3"/>
  <c r="P288" i="3"/>
  <c r="P25" i="3"/>
  <c r="P31" i="3"/>
  <c r="E37" i="3"/>
  <c r="E42" i="3"/>
  <c r="E46" i="3"/>
  <c r="P54" i="3"/>
  <c r="P59" i="3"/>
  <c r="P78" i="3"/>
  <c r="P93" i="3"/>
  <c r="P106" i="3"/>
  <c r="P111" i="3"/>
  <c r="P124" i="3"/>
  <c r="P144" i="3"/>
  <c r="F156" i="3"/>
  <c r="E156" i="3"/>
  <c r="D156" i="3"/>
  <c r="F174" i="3"/>
  <c r="E174" i="3"/>
  <c r="D174" i="3"/>
  <c r="F195" i="3"/>
  <c r="E195" i="3"/>
  <c r="F198" i="3"/>
  <c r="E198" i="3"/>
  <c r="D198" i="3"/>
  <c r="P204" i="3"/>
  <c r="P207" i="3"/>
  <c r="P220" i="3"/>
  <c r="E221" i="3"/>
  <c r="D221" i="3"/>
  <c r="P243" i="3"/>
  <c r="P246" i="3"/>
  <c r="P282" i="3"/>
  <c r="P296" i="3"/>
  <c r="P301" i="3"/>
  <c r="P15" i="3"/>
  <c r="P41" i="3"/>
  <c r="P64" i="3"/>
  <c r="P86" i="3"/>
  <c r="P88" i="3"/>
  <c r="P104" i="3"/>
  <c r="P169" i="3"/>
  <c r="P187" i="3"/>
  <c r="P213" i="3"/>
  <c r="P237" i="3"/>
  <c r="P240" i="3"/>
  <c r="P299" i="3"/>
  <c r="P14" i="3"/>
  <c r="P77" i="3"/>
  <c r="P81" i="3"/>
  <c r="P83" i="3"/>
  <c r="P99" i="3"/>
  <c r="P108" i="3"/>
  <c r="P133" i="3"/>
  <c r="P137" i="3"/>
  <c r="P148" i="3"/>
  <c r="F159" i="3"/>
  <c r="P162" i="3"/>
  <c r="P166" i="3"/>
  <c r="E167" i="3"/>
  <c r="D167" i="3"/>
  <c r="F177" i="3"/>
  <c r="P180" i="3"/>
  <c r="P184" i="3"/>
  <c r="E185" i="3"/>
  <c r="D185" i="3"/>
  <c r="F201" i="3"/>
  <c r="E201" i="3"/>
  <c r="F204" i="3"/>
  <c r="E204" i="3"/>
  <c r="D204" i="3"/>
  <c r="P210" i="3"/>
  <c r="P219" i="3"/>
  <c r="P231" i="3"/>
  <c r="P234" i="3"/>
  <c r="P276" i="3"/>
  <c r="P6" i="3"/>
  <c r="P119" i="3"/>
  <c r="P135" i="3"/>
  <c r="P193" i="3"/>
  <c r="P225" i="3"/>
  <c r="P112" i="3"/>
  <c r="P128" i="3"/>
  <c r="F207" i="3"/>
  <c r="E207" i="3"/>
  <c r="F210" i="3"/>
  <c r="E210" i="3"/>
  <c r="D210" i="3"/>
  <c r="P222" i="3"/>
  <c r="P270" i="3"/>
  <c r="P50" i="3"/>
  <c r="P97" i="3"/>
  <c r="P110" i="3"/>
  <c r="P115" i="3"/>
  <c r="P130" i="3"/>
  <c r="P158" i="3"/>
  <c r="P176" i="3"/>
  <c r="P216" i="3"/>
  <c r="P228" i="3"/>
  <c r="P295" i="3"/>
  <c r="E6" i="3"/>
  <c r="E18" i="3"/>
  <c r="D35" i="3"/>
  <c r="E50" i="3"/>
  <c r="P76" i="3"/>
  <c r="P85" i="3"/>
  <c r="P95" i="3"/>
  <c r="P101" i="3"/>
  <c r="F162" i="3"/>
  <c r="E162" i="3"/>
  <c r="D162" i="3"/>
  <c r="F180" i="3"/>
  <c r="E180" i="3"/>
  <c r="D180" i="3"/>
  <c r="P190" i="3"/>
  <c r="E191" i="3"/>
  <c r="D191" i="3"/>
  <c r="P53" i="3"/>
  <c r="P90" i="3"/>
  <c r="P139" i="3"/>
  <c r="P143" i="3"/>
  <c r="D165" i="3"/>
  <c r="P175" i="3"/>
  <c r="D183" i="3"/>
  <c r="P199" i="3"/>
  <c r="F216" i="3"/>
  <c r="E216" i="3"/>
  <c r="D216" i="3"/>
  <c r="P289" i="3"/>
  <c r="P300" i="3"/>
  <c r="P34" i="3"/>
  <c r="P43" i="3"/>
  <c r="P57" i="3"/>
  <c r="P62" i="3"/>
  <c r="P67" i="3"/>
  <c r="P72" i="3"/>
  <c r="P114" i="3"/>
  <c r="P134" i="3"/>
  <c r="P154" i="3"/>
  <c r="E155" i="3"/>
  <c r="D155" i="3"/>
  <c r="P168" i="3"/>
  <c r="P172" i="3"/>
  <c r="E173" i="3"/>
  <c r="D173" i="3"/>
  <c r="P186" i="3"/>
  <c r="E197" i="3"/>
  <c r="D197" i="3"/>
  <c r="F222" i="3"/>
  <c r="E222" i="3"/>
  <c r="D222" i="3"/>
  <c r="P264" i="3"/>
  <c r="P58" i="3"/>
  <c r="P28" i="3"/>
  <c r="D4" i="3"/>
  <c r="P4" i="3"/>
  <c r="D13" i="3"/>
  <c r="D22" i="3"/>
  <c r="E28" i="3"/>
  <c r="E34" i="3"/>
  <c r="D39" i="3"/>
  <c r="D48" i="3"/>
  <c r="E53" i="3"/>
  <c r="D53" i="3"/>
  <c r="P87" i="3"/>
  <c r="P94" i="3"/>
  <c r="P98" i="3"/>
  <c r="P103" i="3"/>
  <c r="P107" i="3"/>
  <c r="P121" i="3"/>
  <c r="P125" i="3"/>
  <c r="P136" i="3"/>
  <c r="P164" i="3"/>
  <c r="P182" i="3"/>
  <c r="P302" i="3"/>
  <c r="P291" i="3"/>
  <c r="P285" i="3"/>
  <c r="P279" i="3"/>
  <c r="P273" i="3"/>
  <c r="P267" i="3"/>
  <c r="P261" i="3"/>
  <c r="P255" i="3"/>
  <c r="P249" i="3"/>
  <c r="P298" i="3"/>
  <c r="P292" i="3"/>
  <c r="P286" i="3"/>
  <c r="P280" i="3"/>
  <c r="P274" i="3"/>
  <c r="P268" i="3"/>
  <c r="P262" i="3"/>
  <c r="P256" i="3"/>
  <c r="P250" i="3"/>
  <c r="P244" i="3"/>
  <c r="P238" i="3"/>
  <c r="P232" i="3"/>
  <c r="P226" i="3"/>
  <c r="P82" i="3"/>
  <c r="P293" i="3"/>
  <c r="P287" i="3"/>
  <c r="P281" i="3"/>
  <c r="P275" i="3"/>
  <c r="P269" i="3"/>
  <c r="P263" i="3"/>
  <c r="P257" i="3"/>
  <c r="P251" i="3"/>
  <c r="P245" i="3"/>
  <c r="P239" i="3"/>
  <c r="P233" i="3"/>
  <c r="P227" i="3"/>
  <c r="P221" i="3"/>
  <c r="P215" i="3"/>
  <c r="P209" i="3"/>
  <c r="P203" i="3"/>
  <c r="P197" i="3"/>
  <c r="P191" i="3"/>
  <c r="P185" i="3"/>
  <c r="P179" i="3"/>
  <c r="P173" i="3"/>
  <c r="P167" i="3"/>
  <c r="P161" i="3"/>
  <c r="P155" i="3"/>
  <c r="P80" i="3"/>
  <c r="P75" i="3"/>
  <c r="P150" i="3"/>
  <c r="P138" i="3"/>
  <c r="P126" i="3"/>
  <c r="P283" i="3"/>
  <c r="P277" i="3"/>
  <c r="P271" i="3"/>
  <c r="P265" i="3"/>
  <c r="P259" i="3"/>
  <c r="P253" i="3"/>
  <c r="P247" i="3"/>
  <c r="P241" i="3"/>
  <c r="P235" i="3"/>
  <c r="P229" i="3"/>
  <c r="P223" i="3"/>
  <c r="P217" i="3"/>
  <c r="P211" i="3"/>
  <c r="P290" i="3"/>
  <c r="P284" i="3"/>
  <c r="P278" i="3"/>
  <c r="P272" i="3"/>
  <c r="P266" i="3"/>
  <c r="P260" i="3"/>
  <c r="P254" i="3"/>
  <c r="P248" i="3"/>
  <c r="P242" i="3"/>
  <c r="P236" i="3"/>
  <c r="P230" i="3"/>
  <c r="P224" i="3"/>
  <c r="P218" i="3"/>
  <c r="P212" i="3"/>
  <c r="P206" i="3"/>
  <c r="P200" i="3"/>
  <c r="P194" i="3"/>
  <c r="P188" i="3"/>
  <c r="P71" i="3"/>
  <c r="P123" i="3"/>
  <c r="F161" i="3"/>
  <c r="F168" i="3"/>
  <c r="E168" i="3"/>
  <c r="D168" i="3"/>
  <c r="F179" i="3"/>
  <c r="F186" i="3"/>
  <c r="E186" i="3"/>
  <c r="D186" i="3"/>
  <c r="D189" i="3"/>
  <c r="P192" i="3"/>
  <c r="P202" i="3"/>
  <c r="E203" i="3"/>
  <c r="D203" i="3"/>
  <c r="F209" i="3"/>
  <c r="P258" i="3"/>
  <c r="E213" i="3"/>
  <c r="E219" i="3"/>
  <c r="E225" i="3"/>
  <c r="E231" i="3"/>
  <c r="E237" i="3"/>
  <c r="E243" i="3"/>
  <c r="E249" i="3"/>
  <c r="E255" i="3"/>
  <c r="E261" i="3"/>
  <c r="E267" i="3"/>
  <c r="E273" i="3"/>
  <c r="E279" i="3"/>
  <c r="E291" i="3"/>
  <c r="E297" i="3"/>
  <c r="D228" i="3"/>
  <c r="D234" i="3"/>
  <c r="D240" i="3"/>
  <c r="D246" i="3"/>
  <c r="D252" i="3"/>
  <c r="D258" i="3"/>
  <c r="D264" i="3"/>
  <c r="D270" i="3"/>
  <c r="D276" i="3"/>
  <c r="D282" i="3"/>
  <c r="D288" i="3"/>
  <c r="D294" i="3"/>
  <c r="E228" i="3"/>
  <c r="E234" i="3"/>
  <c r="E240" i="3"/>
  <c r="E246" i="3"/>
  <c r="E252" i="3"/>
  <c r="E258" i="3"/>
  <c r="E264" i="3"/>
  <c r="E270" i="3"/>
  <c r="E276" i="3"/>
  <c r="E282" i="3"/>
  <c r="E288" i="3"/>
  <c r="E294" i="3"/>
  <c r="D245" i="3"/>
  <c r="D251" i="3"/>
  <c r="D257" i="3"/>
  <c r="D263" i="3"/>
  <c r="D269" i="3"/>
  <c r="D275" i="3"/>
  <c r="D281" i="3"/>
  <c r="D287" i="3"/>
  <c r="D293" i="3"/>
  <c r="D299" i="3"/>
  <c r="D302" i="3"/>
  <c r="E245" i="3"/>
  <c r="E251" i="3"/>
  <c r="E257" i="3"/>
  <c r="E263" i="3"/>
  <c r="E269" i="3"/>
  <c r="E275" i="3"/>
  <c r="E281" i="3"/>
  <c r="E287" i="3"/>
  <c r="E293" i="3"/>
  <c r="E299" i="3"/>
  <c r="E302" i="3"/>
  <c r="AN39" i="1"/>
  <c r="AN38" i="1"/>
  <c r="AG26" i="2"/>
  <c r="Y43" i="2"/>
  <c r="Z43" i="2" s="1"/>
  <c r="AA43" i="2"/>
  <c r="G49" i="2"/>
  <c r="I49" i="2"/>
  <c r="AA45" i="2"/>
  <c r="Y46" i="2"/>
  <c r="Z46" i="2" s="1"/>
  <c r="S49" i="2"/>
  <c r="U49" i="2"/>
  <c r="W49" i="2"/>
  <c r="C49" i="2"/>
  <c r="AA48" i="2"/>
  <c r="BC22" i="1"/>
  <c r="BC21" i="1" s="1"/>
  <c r="BE28" i="1"/>
  <c r="AU58" i="1"/>
  <c r="BE58" i="1" s="1"/>
  <c r="CC41" i="1" s="1"/>
  <c r="BB58" i="1"/>
  <c r="BZ41" i="1" s="1"/>
  <c r="AW48" i="1"/>
  <c r="BG48" i="1" s="1"/>
  <c r="BV43" i="1" s="1"/>
  <c r="AW47" i="1"/>
  <c r="BG47" i="1" s="1"/>
  <c r="BV42" i="1" s="1"/>
  <c r="AW46" i="1"/>
  <c r="BG46" i="1" s="1"/>
  <c r="BV41" i="1" s="1"/>
  <c r="AV46" i="1"/>
  <c r="BF46" i="1" s="1"/>
  <c r="BU41" i="1" s="1"/>
  <c r="AT14" i="1"/>
  <c r="AT5" i="1"/>
  <c r="AT6" i="1"/>
  <c r="AT9" i="1"/>
  <c r="AT12" i="1"/>
  <c r="AT8" i="1"/>
  <c r="AT11" i="1"/>
  <c r="AR71" i="1"/>
  <c r="BA70" i="1"/>
  <c r="CH41" i="1" s="1"/>
  <c r="AU47" i="1"/>
  <c r="BE47" i="1" s="1"/>
  <c r="BT42" i="1" s="1"/>
  <c r="BE27" i="1"/>
  <c r="AR57" i="1"/>
  <c r="BA57" i="1"/>
  <c r="BY40" i="1" s="1"/>
  <c r="BB46" i="1"/>
  <c r="BQ41" i="1" s="1"/>
  <c r="AU46" i="1"/>
  <c r="BE46" i="1" s="1"/>
  <c r="BT41" i="1" s="1"/>
  <c r="AU65" i="1"/>
  <c r="AU45" i="1"/>
  <c r="BE45" i="1" s="1"/>
  <c r="BT40" i="1" s="1"/>
  <c r="BB60" i="1"/>
  <c r="BZ43" i="1" s="1"/>
  <c r="AU60" i="1"/>
  <c r="BE60" i="1" s="1"/>
  <c r="AV48" i="1"/>
  <c r="BF48" i="1" s="1"/>
  <c r="BU43" i="1" s="1"/>
  <c r="BB71" i="1"/>
  <c r="CI42" i="1" s="1"/>
  <c r="AV47" i="1"/>
  <c r="BF47" i="1" s="1"/>
  <c r="BU42" i="1" s="1"/>
  <c r="AR59" i="1"/>
  <c r="BA59" i="1"/>
  <c r="BY42" i="1" s="1"/>
  <c r="AV52" i="1"/>
  <c r="AW52" i="1"/>
  <c r="AZ59" i="1"/>
  <c r="BX42" i="1" s="1"/>
  <c r="AP71" i="1"/>
  <c r="AJ99" i="1"/>
  <c r="AN92" i="1"/>
  <c r="AV66" i="1"/>
  <c r="I44" i="1"/>
  <c r="K41" i="1" s="1"/>
  <c r="AQ70" i="1"/>
  <c r="AQ71" i="1"/>
  <c r="BA25" i="1"/>
  <c r="AW66" i="1"/>
  <c r="AW53" i="1"/>
  <c r="AU48" i="1"/>
  <c r="BE48" i="1" s="1"/>
  <c r="BT43" i="1" s="1"/>
  <c r="AU67" i="1"/>
  <c r="AU51" i="1"/>
  <c r="AV45" i="1"/>
  <c r="BF45" i="1" s="1"/>
  <c r="BU40" i="1" s="1"/>
  <c r="BD47" i="1"/>
  <c r="BS42" i="1" s="1"/>
  <c r="BB48" i="1"/>
  <c r="BQ43" i="1" s="1"/>
  <c r="AV51" i="1"/>
  <c r="AV65" i="1"/>
  <c r="BO36" i="1"/>
  <c r="AR58" i="1"/>
  <c r="AY71" i="1"/>
  <c r="CF42" i="1" s="1"/>
  <c r="AP72" i="1"/>
  <c r="AQ35" i="1"/>
  <c r="AW45" i="1"/>
  <c r="BG45" i="1" s="1"/>
  <c r="BV40" i="1" s="1"/>
  <c r="AW64" i="1"/>
  <c r="AW51" i="1"/>
  <c r="N59" i="1"/>
  <c r="AW65" i="1"/>
  <c r="AU69" i="1"/>
  <c r="AU72" i="1" s="1"/>
  <c r="BE71" i="1" s="1"/>
  <c r="CL42" i="1" s="1"/>
  <c r="AN30" i="1"/>
  <c r="AQ72" i="1"/>
  <c r="AR73" i="1"/>
  <c r="R34" i="2" l="1"/>
  <c r="R35" i="2" s="1"/>
  <c r="R36" i="2" s="1"/>
  <c r="R32" i="2"/>
  <c r="R33" i="2" s="1"/>
  <c r="P16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Z49" i="2"/>
  <c r="Y49" i="2"/>
  <c r="AV70" i="1"/>
  <c r="BF69" i="1" s="1"/>
  <c r="CM40" i="1" s="1"/>
  <c r="BB59" i="1"/>
  <c r="BZ42" i="1" s="1"/>
  <c r="CE43" i="1"/>
  <c r="BC60" i="1"/>
  <c r="CA43" i="1" s="1"/>
  <c r="AV60" i="1"/>
  <c r="BF60" i="1" s="1"/>
  <c r="AT16" i="1"/>
  <c r="AT15" i="1"/>
  <c r="AT10" i="1"/>
  <c r="AT13" i="1"/>
  <c r="AT7" i="1"/>
  <c r="AA49" i="2"/>
  <c r="BD58" i="1"/>
  <c r="CB41" i="1" s="1"/>
  <c r="AW58" i="1"/>
  <c r="BG58" i="1" s="1"/>
  <c r="CE41" i="1" s="1"/>
  <c r="BJ47" i="1"/>
  <c r="CC43" i="1"/>
  <c r="BJ45" i="1"/>
  <c r="AV58" i="1"/>
  <c r="BF58" i="1" s="1"/>
  <c r="CD41" i="1" s="1"/>
  <c r="BC58" i="1"/>
  <c r="CA41" i="1" s="1"/>
  <c r="AO26" i="1"/>
  <c r="AA30" i="1"/>
  <c r="Q31" i="1" s="1"/>
  <c r="AO29" i="1"/>
  <c r="AO28" i="1"/>
  <c r="AO27" i="1"/>
  <c r="AV71" i="1"/>
  <c r="BF70" i="1" s="1"/>
  <c r="CM41" i="1" s="1"/>
  <c r="BC70" i="1"/>
  <c r="CJ41" i="1" s="1"/>
  <c r="AT25" i="1" a="1"/>
  <c r="AT25" i="1" s="1"/>
  <c r="AW73" i="1"/>
  <c r="BG72" i="1" s="1"/>
  <c r="CN43" i="1" s="1"/>
  <c r="AU70" i="1"/>
  <c r="BE69" i="1" s="1"/>
  <c r="CL40" i="1" s="1"/>
  <c r="Q46" i="1" s="1"/>
  <c r="AV73" i="1"/>
  <c r="BF72" i="1" s="1"/>
  <c r="CM43" i="1" s="1"/>
  <c r="BC57" i="1"/>
  <c r="CA40" i="1" s="1"/>
  <c r="AV57" i="1"/>
  <c r="BF57" i="1" s="1"/>
  <c r="CD40" i="1" s="1"/>
  <c r="BB70" i="1"/>
  <c r="CI41" i="1" s="1"/>
  <c r="AU71" i="1"/>
  <c r="BE70" i="1" s="1"/>
  <c r="CL41" i="1" s="1"/>
  <c r="BB21" i="1"/>
  <c r="AZ21" i="1"/>
  <c r="BA21" i="1"/>
  <c r="D57" i="1"/>
  <c r="K106" i="1"/>
  <c r="BD59" i="1"/>
  <c r="CB42" i="1" s="1"/>
  <c r="AW59" i="1"/>
  <c r="BG59" i="1" s="1"/>
  <c r="CE42" i="1" s="1"/>
  <c r="BD70" i="1"/>
  <c r="CK41" i="1" s="1"/>
  <c r="AW71" i="1"/>
  <c r="BG70" i="1" s="1"/>
  <c r="CN41" i="1" s="1"/>
  <c r="BC71" i="1"/>
  <c r="CJ42" i="1" s="1"/>
  <c r="AV72" i="1"/>
  <c r="BF71" i="1" s="1"/>
  <c r="CM42" i="1" s="1"/>
  <c r="BD71" i="1"/>
  <c r="CK42" i="1" s="1"/>
  <c r="AW72" i="1"/>
  <c r="BG71" i="1" s="1"/>
  <c r="CN42" i="1" s="1"/>
  <c r="BD57" i="1"/>
  <c r="CB40" i="1" s="1"/>
  <c r="AW57" i="1"/>
  <c r="BG57" i="1" s="1"/>
  <c r="CE40" i="1" s="1"/>
  <c r="AW70" i="1"/>
  <c r="BG69" i="1" s="1"/>
  <c r="CN40" i="1" s="1"/>
  <c r="BD69" i="1"/>
  <c r="CK40" i="1" s="1"/>
  <c r="AU57" i="1"/>
  <c r="BE57" i="1" s="1"/>
  <c r="BB57" i="1"/>
  <c r="BZ40" i="1" s="1"/>
  <c r="AU73" i="1"/>
  <c r="BE72" i="1" s="1"/>
  <c r="CL43" i="1" s="1"/>
  <c r="BB72" i="1"/>
  <c r="CI43" i="1" s="1"/>
  <c r="BK45" i="1" l="1"/>
  <c r="CD43" i="1"/>
  <c r="AU28" i="1" a="1"/>
  <c r="AU28" i="1" s="1"/>
  <c r="AU31" i="1" a="1"/>
  <c r="AU31" i="1" s="1"/>
  <c r="AU27" i="1" a="1"/>
  <c r="AU27" i="1" s="1"/>
  <c r="AU25" i="1" a="1"/>
  <c r="AU25" i="1" s="1"/>
  <c r="AU30" i="1" a="1"/>
  <c r="AU30" i="1" s="1"/>
  <c r="AV25" i="1" a="1"/>
  <c r="AV25" i="1" s="1"/>
  <c r="AU29" i="1" a="1"/>
  <c r="AU29" i="1" s="1"/>
  <c r="AU26" i="1" a="1"/>
  <c r="AU26" i="1" s="1"/>
  <c r="AT17" i="1"/>
  <c r="K107" i="1" s="1" a="1"/>
  <c r="S38" i="1"/>
  <c r="J54" i="1" s="1"/>
  <c r="V38" i="1"/>
  <c r="S31" i="1"/>
  <c r="B107" i="1"/>
  <c r="A106" i="1"/>
  <c r="B106" i="1" s="1"/>
  <c r="A107" i="1"/>
  <c r="BJ48" i="1"/>
  <c r="BJ49" i="1" s="1"/>
  <c r="CC40" i="1"/>
  <c r="F55" i="1" a="1"/>
  <c r="B112" i="1" l="1"/>
  <c r="A116" i="1"/>
  <c r="B109" i="1"/>
  <c r="B115" i="1"/>
  <c r="A113" i="1"/>
  <c r="A115" i="1"/>
  <c r="A109" i="1"/>
  <c r="B114" i="1"/>
  <c r="B110" i="1"/>
  <c r="A114" i="1"/>
  <c r="A110" i="1"/>
  <c r="B113" i="1"/>
  <c r="A112" i="1"/>
  <c r="B111" i="1"/>
  <c r="K107" i="1"/>
  <c r="B108" i="1" s="1"/>
  <c r="A111" i="1"/>
  <c r="B116" i="1"/>
  <c r="AP115" i="1" s="1"/>
  <c r="AM116" i="1" s="1"/>
  <c r="AT116" i="1" s="1"/>
  <c r="AP105" i="1"/>
  <c r="AT19" i="1"/>
  <c r="AT18" i="1"/>
  <c r="AW22" i="1" s="1" a="1"/>
  <c r="AW22" i="1" s="1"/>
  <c r="F55" i="1"/>
  <c r="BJ50" i="1"/>
  <c r="BJ51" i="1" s="1"/>
  <c r="BK49" i="1"/>
  <c r="I57" i="1"/>
  <c r="AP114" i="1" l="1"/>
  <c r="AP112" i="1"/>
  <c r="A108" i="1"/>
  <c r="AP106" i="1" s="1"/>
  <c r="AP108" i="1"/>
  <c r="AP113" i="1"/>
  <c r="AP109" i="1"/>
  <c r="AP110" i="1"/>
  <c r="AP111" i="1"/>
  <c r="AS116" i="1"/>
  <c r="AU19" i="1"/>
  <c r="AV19" i="1" s="1"/>
  <c r="AU18" i="1"/>
  <c r="AV18" i="1" s="1"/>
  <c r="AU9" i="1"/>
  <c r="AV9" i="1" s="1"/>
  <c r="AU12" i="1"/>
  <c r="AV12" i="1" s="1"/>
  <c r="AU5" i="1"/>
  <c r="AU15" i="1"/>
  <c r="AV15" i="1" s="1"/>
  <c r="AU6" i="1"/>
  <c r="AV6" i="1" s="1"/>
  <c r="AU14" i="1"/>
  <c r="AV14" i="1" s="1"/>
  <c r="AU11" i="1"/>
  <c r="AV11" i="1" s="1"/>
  <c r="AU13" i="1"/>
  <c r="AV13" i="1" s="1"/>
  <c r="AU17" i="1"/>
  <c r="AV17" i="1" s="1"/>
  <c r="AU16" i="1"/>
  <c r="AV16" i="1" s="1"/>
  <c r="AU7" i="1"/>
  <c r="AV7" i="1" s="1"/>
  <c r="AU10" i="1"/>
  <c r="AV10" i="1" s="1"/>
  <c r="AU8" i="1"/>
  <c r="AV8" i="1" s="1"/>
  <c r="AP107" i="1"/>
  <c r="M106" i="1"/>
  <c r="AP118" i="1" l="1"/>
  <c r="AM105" i="1"/>
  <c r="AS105" i="1" s="1"/>
  <c r="M107" i="1"/>
  <c r="AT105" i="1" l="1"/>
  <c r="M108" i="1"/>
  <c r="M109" i="1" l="1"/>
  <c r="AU105" i="1"/>
  <c r="M110" i="1" l="1"/>
  <c r="M111" i="1" l="1"/>
  <c r="M112" i="1" l="1"/>
  <c r="M113" i="1" l="1"/>
  <c r="M114" i="1" l="1"/>
  <c r="AP77" i="3" l="1"/>
  <c r="AP30" i="3"/>
  <c r="AP25" i="3"/>
  <c r="AP22" i="3"/>
  <c r="AP20" i="3"/>
  <c r="AP15" i="3"/>
  <c r="AP74" i="3"/>
  <c r="AP71" i="3"/>
  <c r="AP67" i="3"/>
  <c r="AP63" i="3"/>
  <c r="AP59" i="3"/>
  <c r="AP55" i="3"/>
  <c r="AP52" i="3"/>
  <c r="AP42" i="3"/>
  <c r="AP35" i="3"/>
  <c r="AP47" i="3"/>
  <c r="AP45" i="3"/>
  <c r="AP40" i="3"/>
  <c r="AP33" i="3"/>
  <c r="AP6" i="3"/>
  <c r="AP81" i="3"/>
  <c r="AP78" i="3"/>
  <c r="AP31" i="3"/>
  <c r="AP13" i="3"/>
  <c r="AP11" i="3"/>
  <c r="AP9" i="3"/>
  <c r="AP75" i="3"/>
  <c r="AP72" i="3"/>
  <c r="AP68" i="3"/>
  <c r="AP64" i="3"/>
  <c r="AP60" i="3"/>
  <c r="AP56" i="3"/>
  <c r="AP50" i="3"/>
  <c r="AP38" i="3"/>
  <c r="AP36" i="3"/>
  <c r="AP28" i="3"/>
  <c r="AP23" i="3"/>
  <c r="AP18" i="3"/>
  <c r="AP26" i="3"/>
  <c r="AP16" i="3"/>
  <c r="AP7" i="3"/>
  <c r="AP4" i="3"/>
  <c r="AP79" i="3"/>
  <c r="AP21" i="3"/>
  <c r="AP69" i="3"/>
  <c r="AP65" i="3"/>
  <c r="AP61" i="3"/>
  <c r="AP57" i="3"/>
  <c r="AP53" i="3"/>
  <c r="AP51" i="3"/>
  <c r="AP43" i="3"/>
  <c r="AP41" i="3"/>
  <c r="AP34" i="3"/>
  <c r="AP19" i="3"/>
  <c r="AP48" i="3"/>
  <c r="AP46" i="3"/>
  <c r="AP32" i="3"/>
  <c r="AP29" i="3"/>
  <c r="AP80" i="3"/>
  <c r="AP76" i="3"/>
  <c r="AP24" i="3"/>
  <c r="AP14" i="3"/>
  <c r="AP12" i="3"/>
  <c r="AP10" i="3"/>
  <c r="AP8" i="3"/>
  <c r="AP5" i="3"/>
  <c r="AP73" i="3"/>
  <c r="AP70" i="3"/>
  <c r="AP66" i="3"/>
  <c r="AP62" i="3"/>
  <c r="AP58" i="3"/>
  <c r="AP54" i="3"/>
  <c r="AP44" i="3"/>
  <c r="AP39" i="3"/>
  <c r="AP37" i="3"/>
  <c r="AP49" i="3"/>
  <c r="AP27" i="3"/>
  <c r="AP17" i="3"/>
  <c r="M115" i="1"/>
  <c r="AP3" i="3"/>
  <c r="M118" i="1" l="1"/>
  <c r="AQ110" i="1" l="1" a="1"/>
  <c r="AQ110" i="1" s="1"/>
  <c r="AW110" i="1" s="1"/>
  <c r="AO110" i="1" s="1"/>
  <c r="AQ111" i="1" a="1"/>
  <c r="AQ111" i="1" s="1"/>
  <c r="AW111" i="1" s="1"/>
  <c r="AO111" i="1" s="1"/>
  <c r="AQ112" i="1" a="1"/>
  <c r="AQ112" i="1" s="1"/>
  <c r="AW112" i="1" s="1"/>
  <c r="AO112" i="1" s="1"/>
  <c r="AQ114" i="1" a="1"/>
  <c r="AQ114" i="1" s="1"/>
  <c r="AW114" i="1" s="1"/>
  <c r="AO114" i="1" s="1"/>
  <c r="AQ113" i="1" a="1"/>
  <c r="AQ113" i="1" s="1"/>
  <c r="AW113" i="1" s="1"/>
  <c r="AO113" i="1" s="1"/>
  <c r="AQ105" i="1" a="1"/>
  <c r="AQ105" i="1" s="1"/>
  <c r="AW105" i="1" s="1"/>
  <c r="AO105" i="1" s="1"/>
  <c r="AQ109" i="1" a="1"/>
  <c r="AQ109" i="1" s="1"/>
  <c r="AW109" i="1" s="1"/>
  <c r="AO109" i="1" s="1"/>
  <c r="AQ108" i="1" a="1"/>
  <c r="AQ108" i="1" s="1"/>
  <c r="AW108" i="1" s="1"/>
  <c r="AO108" i="1" s="1"/>
  <c r="AQ106" i="1" a="1"/>
  <c r="AQ106" i="1" s="1"/>
  <c r="AW106" i="1" s="1"/>
  <c r="AO106" i="1" s="1"/>
  <c r="AQ107" i="1" a="1"/>
  <c r="AQ107" i="1" s="1"/>
  <c r="AW107" i="1" s="1"/>
  <c r="AO107" i="1" s="1"/>
  <c r="AM109" i="1" l="1"/>
  <c r="AM107" i="1"/>
  <c r="AR107" i="1" s="1"/>
  <c r="AM114" i="1"/>
  <c r="AR114" i="1" s="1"/>
  <c r="AM108" i="1"/>
  <c r="AM115" i="1"/>
  <c r="AM113" i="1"/>
  <c r="AM110" i="1"/>
  <c r="AR110" i="1" s="1"/>
  <c r="AM112" i="1"/>
  <c r="AR112" i="1" s="1"/>
  <c r="AR105" i="1"/>
  <c r="AM106" i="1"/>
  <c r="AM111" i="1"/>
  <c r="AT113" i="1" l="1"/>
  <c r="AT115" i="1"/>
  <c r="AS115" i="1"/>
  <c r="AT114" i="1"/>
  <c r="AT111" i="1"/>
  <c r="AT108" i="1"/>
  <c r="AT106" i="1"/>
  <c r="AM118" i="1"/>
  <c r="AS106" i="1"/>
  <c r="AS107" i="1" s="1"/>
  <c r="AS108" i="1" s="1"/>
  <c r="AS109" i="1" s="1"/>
  <c r="AS110" i="1" s="1"/>
  <c r="AS111" i="1" s="1"/>
  <c r="AS112" i="1" s="1"/>
  <c r="AS113" i="1" s="1"/>
  <c r="AS114" i="1" s="1"/>
  <c r="AR113" i="1"/>
  <c r="AR111" i="1"/>
  <c r="AT107" i="1"/>
  <c r="AT112" i="1"/>
  <c r="AR106" i="1"/>
  <c r="AT110" i="1"/>
  <c r="AT109" i="1"/>
  <c r="AR109" i="1"/>
  <c r="AR108" i="1"/>
  <c r="AR118" i="1" l="1"/>
  <c r="AS118" i="1" s="1"/>
  <c r="AT118" i="1"/>
  <c r="AU106" i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Q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7" authorId="0" shapeId="0" xr:uid="{E4B4EF26-CD4D-40E9-AD41-1735959AA6A6}">
      <text>
        <r>
          <rPr>
            <sz val="9"/>
            <color indexed="81"/>
            <rFont val="Tahoma"/>
            <family val="2"/>
            <charset val="238"/>
          </rPr>
          <t>Wszystkich Świętych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<sst xmlns="http://schemas.openxmlformats.org/spreadsheetml/2006/main" count="2112" uniqueCount="646">
  <si>
    <t>UMOWA</t>
  </si>
  <si>
    <t>O NAUCZANIE</t>
  </si>
  <si>
    <t>S</t>
  </si>
  <si>
    <t>język angielski</t>
  </si>
  <si>
    <t>Ix1</t>
  </si>
  <si>
    <t>zawarta w Iławie w dniu</t>
  </si>
  <si>
    <t>pomiędzy:</t>
  </si>
  <si>
    <t>P</t>
  </si>
  <si>
    <t>jezyk polski</t>
  </si>
  <si>
    <t>Ix2</t>
  </si>
  <si>
    <t>PP</t>
  </si>
  <si>
    <t>język niemiecki</t>
  </si>
  <si>
    <t>Ix3</t>
  </si>
  <si>
    <t>Grzegorzem Olszewskim – Dyrektorem Akademii</t>
  </si>
  <si>
    <t>matematyka</t>
  </si>
  <si>
    <t>Z</t>
  </si>
  <si>
    <r>
      <t xml:space="preserve">Prowadzącym działalność gospodarczą pod firmą „GRZEGORZ OLSZEWSKI GREGOR ACADEMY” </t>
    </r>
    <r>
      <rPr>
        <sz val="11"/>
        <color theme="1"/>
        <rFont val="Calibri"/>
        <family val="2"/>
        <charset val="238"/>
        <scheme val="minor"/>
      </rPr>
      <t>z siedzibą w Iławie (14-202), przy ul</t>
    </r>
    <r>
      <rPr>
        <sz val="11"/>
        <color rgb="FF000000"/>
        <rFont val="Calibri"/>
        <family val="2"/>
        <charset val="238"/>
        <scheme val="minor"/>
      </rPr>
      <t>. Krzysztofa Kamila Baczyńskiego 1A/45</t>
    </r>
    <r>
      <rPr>
        <sz val="11"/>
        <color theme="1"/>
        <rFont val="Calibri"/>
        <family val="2"/>
        <charset val="238"/>
        <scheme val="minor"/>
      </rPr>
      <t xml:space="preserve">, NIP: 744-172-89-87, reprezentowanym przez: </t>
    </r>
  </si>
  <si>
    <t>historia</t>
  </si>
  <si>
    <t xml:space="preserve">Tadeusza Graszek - Specjalistę ds. Administracji, zwanym dalej  „GREGOR ACADEMY”; </t>
  </si>
  <si>
    <t>geografia</t>
  </si>
  <si>
    <t>a</t>
  </si>
  <si>
    <t>wiedza o społeczeństwie</t>
  </si>
  <si>
    <t>imię i nazwisko lub nazwa firmy:</t>
  </si>
  <si>
    <t>Barbara Jastrzebska</t>
  </si>
  <si>
    <t>adres zamieszkania lub adres siedziby:</t>
  </si>
  <si>
    <t>PESEL lub NIP:</t>
  </si>
  <si>
    <t>adres korespondencyjny:</t>
  </si>
  <si>
    <t>jak wyżej</t>
  </si>
  <si>
    <t>numer telefonu:</t>
  </si>
  <si>
    <t>adres mail do faktur:</t>
  </si>
  <si>
    <r>
      <t xml:space="preserve">zwanym(ą) dalej  </t>
    </r>
    <r>
      <rPr>
        <b/>
        <i/>
        <sz val="11"/>
        <color theme="1"/>
        <rFont val="Calibri"/>
        <family val="2"/>
        <charset val="238"/>
        <scheme val="minor"/>
      </rPr>
      <t>„Klientem”</t>
    </r>
  </si>
  <si>
    <t>Uczestnik kursu*:</t>
  </si>
  <si>
    <t>imię i nazwisko uczestnika kursu:</t>
  </si>
  <si>
    <t>wiek małoletniego:</t>
  </si>
  <si>
    <t>szkoła:</t>
  </si>
  <si>
    <t>klasa:</t>
  </si>
  <si>
    <t>*</t>
  </si>
  <si>
    <t xml:space="preserve">uzupełnić o dane małoletniego dziecka jako uczestnika kursu, w którego imieniu działa przedstawiciel ustawowy – Klient, w przypadku </t>
  </si>
  <si>
    <t>gdy Klient nie jest jednocześnie Uczestnikiem kursu.</t>
  </si>
  <si>
    <t>§ 1</t>
  </si>
  <si>
    <t>1.</t>
  </si>
  <si>
    <t xml:space="preserve">Przedmiotem  niniejszej  umowy  jest  świadczenie  usług w  zakresie  nauki  wybranego  przedmiotu  w ramach kursu zorganizowanego przez GREGOR ACADEMY , tj: </t>
  </si>
  <si>
    <t>●</t>
  </si>
  <si>
    <t>2.</t>
  </si>
  <si>
    <t>Kurs wybranego</t>
  </si>
  <si>
    <t>r.</t>
  </si>
  <si>
    <t xml:space="preserve">do  dnia  </t>
  </si>
  <si>
    <t>r.,</t>
  </si>
  <si>
    <t>w ramach</t>
  </si>
  <si>
    <t>którego GREGOR ACADEMY zaplanowała</t>
  </si>
  <si>
    <t>3.</t>
  </si>
  <si>
    <t>Długość jednej jednostki lekcyjnej objętej niniejszą umową to:</t>
  </si>
  <si>
    <t>minut</t>
  </si>
  <si>
    <t>4.</t>
  </si>
  <si>
    <t>Szczegółowe warunki wykonywania niniejszej umowy określone są w Regulaminie GREGOR ACADEMY w systemie stacjonarnym oraz w systemie zdalnym (online) z dnia 01 czerwca 2025 roku  – plik do pobrania z naszej strony internetowej:  www.gregor.edu.pl.</t>
  </si>
  <si>
    <t>§ 2</t>
  </si>
  <si>
    <t>Nowi</t>
  </si>
  <si>
    <t>Kontynuacja</t>
  </si>
  <si>
    <t>n2nnn</t>
  </si>
  <si>
    <t>Kurs językowy, o którym mowa w § 1 umowy obejmuje</t>
  </si>
  <si>
    <t>Ilość osób w grupie</t>
  </si>
  <si>
    <t>Ilość kursów</t>
  </si>
  <si>
    <t>za jednostkę lekcyjną w grupie:*</t>
  </si>
  <si>
    <t>3+</t>
  </si>
  <si>
    <t>N</t>
  </si>
  <si>
    <t>T</t>
  </si>
  <si>
    <t xml:space="preserve">2. </t>
  </si>
  <si>
    <t>Udzielony rabat:*</t>
  </si>
  <si>
    <t>a.</t>
  </si>
  <si>
    <t>b.</t>
  </si>
  <si>
    <t>Ilość Kursów/Osób</t>
  </si>
  <si>
    <t>c.</t>
  </si>
  <si>
    <t>Certyfikat</t>
  </si>
  <si>
    <t>4+</t>
  </si>
  <si>
    <t>d.</t>
  </si>
  <si>
    <t>Zapis Lipiec</t>
  </si>
  <si>
    <t>gala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</si>
  <si>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</si>
  <si>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</si>
  <si>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</si>
  <si>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</si>
  <si>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</si>
  <si>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</si>
  <si>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</si>
  <si>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</si>
  <si>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</si>
  <si>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e.</t>
  </si>
  <si>
    <t>Voucher</t>
  </si>
  <si>
    <t>Dorota Gamalska</t>
  </si>
  <si>
    <t>Stawka za jednostkę lekcyjną po rabacie:</t>
  </si>
  <si>
    <t>Stawka  za  jedną  jednostkę lekcyjną może  ulec  zmianie  w  trakcie trwania umowy  –  zgodnie z postanowienia-mi § 3  ust.  10  Regulaminu   GREGOR ACADEMY  w  systemie  stacjonarnym  oraz  w  systemie  zdalnym (online) z dnia 01 czerwca 2025 roku.</t>
  </si>
  <si>
    <t>Milena Szymańska</t>
  </si>
  <si>
    <t>Pola Klimik</t>
  </si>
  <si>
    <t>§ 3</t>
  </si>
  <si>
    <t xml:space="preserve">Klient zobowiązuje się do zapłaty  na  rzecz GREGOR ACADEMY  tytułem  czesnego za cały okres trwania kursu </t>
  </si>
  <si>
    <t>kwoty w wysokości:</t>
  </si>
  <si>
    <t xml:space="preserve"> słownie:</t>
  </si>
  <si>
    <t>◦</t>
  </si>
  <si>
    <t>jednorazowo – w terminie do dnia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</si>
  <si>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</si>
  <si>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</si>
  <si>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</si>
  <si>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</si>
  <si>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</si>
  <si>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</si>
  <si>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</si>
  <si>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</si>
  <si>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</si>
  <si>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 xml:space="preserve">w </t>
  </si>
  <si>
    <t>ratach po</t>
  </si>
  <si>
    <t>każda rata.</t>
  </si>
  <si>
    <t>Dzień płatności do:</t>
  </si>
  <si>
    <t>-</t>
  </si>
  <si>
    <t>ty każdego m-ca.</t>
  </si>
  <si>
    <t>Płatność pierwszej raty do dnia:</t>
  </si>
  <si>
    <t>pozostałe do</t>
  </si>
  <si>
    <t>go każdego m-ca</t>
  </si>
  <si>
    <t>25 września 2025</t>
  </si>
  <si>
    <t>Płatność ostatniej raty do dnia:</t>
  </si>
  <si>
    <t>Podstawą  zapłaty  każdej raty  jest niniejsza umowa. Pierwsza płatność należna jest do dnia w pkt. powyżej lub dnia wybranego przez klienta na formularzu zapisu lub 7 dni od dnia podpisania umowy, następne do dnia w pkt. powyżej lub wybranego przez klienta na formularzu zapisu lub 7-go dnia każdego miesiąca. Istnieje możliwość wystawienia faktury, która będzie wysyłana będą drogą elektroniczną na adres e-mail wskazany przez Klienta w formularzu zapisu z adresu GREGOR ACADEMY: faktury@gregor.edu.pl.</t>
  </si>
  <si>
    <t>5.</t>
  </si>
  <si>
    <r>
      <t xml:space="preserve">Wpłaty należy dokonywać na konto Banku PKO B.P. (Inteligo): </t>
    </r>
    <r>
      <rPr>
        <b/>
        <sz val="11"/>
        <color theme="1"/>
        <rFont val="Calibri"/>
        <family val="2"/>
        <charset val="238"/>
        <scheme val="minor"/>
      </rPr>
      <t xml:space="preserve">68 1020 3583 0000 3002 0207 5364. </t>
    </r>
  </si>
  <si>
    <t>Za datę płatności uważa się dzień wpływu środków na rachunek bankowy GREGOR ACADEMY.</t>
  </si>
  <si>
    <t>6.</t>
  </si>
  <si>
    <t>Zgodnie z Regulaminem  GREGOR ACADEMY  klientowi  przysługuje  rabat  za  terminowe opłacenie wszystkich</t>
  </si>
  <si>
    <t>L</t>
  </si>
  <si>
    <t>rat, w  wysokości  5%, poczynając od drugiej raty, rozliczany w racie ostatniej.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</si>
  <si>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</si>
  <si>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</si>
  <si>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</si>
  <si>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</si>
  <si>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</si>
  <si>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</si>
  <si>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</si>
  <si>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</si>
  <si>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</si>
  <si>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7.</t>
  </si>
  <si>
    <t>W razie przejścia z nauczania stacjonarnego na zdalne (on-line) płatności nie ulegają zmianie.</t>
  </si>
  <si>
    <t>8.</t>
  </si>
  <si>
    <t xml:space="preserve">W  przypadku  opóźnienia  w  zapłacie którejkolwiek z rat, Klient  jest zobowiązany do zapłaty odsetek ustawowych za opóźnienie. </t>
  </si>
  <si>
    <t>§ 4</t>
  </si>
  <si>
    <t>Wszelkie zmiany i uzupełnienia umowy wymagają formy pisemnej pod rygorem nieważności.</t>
  </si>
  <si>
    <t>Klient oświadcza, że wyraża zgodę na przetwarzanie jego danych osobowych przez  GREGOR ACADEMY zgodnie  z  Rozporządzenie  Parlamentu  Europejskiego  i  Rady  (UE)  2016/679 z 27  kwietnia  2016  roku dla celów rekru-tacji oraz późniejszych celów związanych z obsługą kursów.  Nadto Klient oświadcza, że został  powiadomiony o   przysługującym   mu    prawie  wglądu  do  jego  danych  osobowych,  prawie  do  ich  poprawiania,  oraz  prawie wniesienia sprzeciwu na ich przetwarzanie.</t>
  </si>
  <si>
    <t>Klient ma obowiązek zawiadomić GREGOR ACADEMY o każdej zmianie swojego adresu w sposób trwały.</t>
  </si>
  <si>
    <t xml:space="preserve">W razie zaniedbania obowiązku określonego w § 4 p.3, doręczenie pisma pod dotychczasowym adresem </t>
  </si>
  <si>
    <t>ma skutek prawny.</t>
  </si>
  <si>
    <t>Integralną  część  niniejszej  umowy  stanowi  Regulamin GREGOR ACADEMY  w systemie stacjonarnym oraz w systemie zdalnym (online)  z dnia 01 czerwca 2025 roku oraz wzór oświadczenia o wypowiedzeniu umowy.</t>
  </si>
  <si>
    <t>Wszelkie  spory  wynikające z  zawarcia i wykonywania  niniejszej umowy strony poddają  pod rozstrzygnięcie Sądu Rejonowego w Iławie.</t>
  </si>
  <si>
    <t>Niniejsza Umowa została sporządzona i zawarta w postaci elektronicznej.</t>
  </si>
  <si>
    <r>
      <t xml:space="preserve">Dokumenty do pobrania w formie PDF ze strony  GREGOR ACADEMY: </t>
    </r>
    <r>
      <rPr>
        <b/>
        <sz val="11"/>
        <color theme="1"/>
        <rFont val="Calibri"/>
        <family val="2"/>
        <charset val="238"/>
        <scheme val="minor"/>
      </rPr>
      <t>www.gregor.edu.pl</t>
    </r>
  </si>
  <si>
    <t xml:space="preserve">Regulamin GREGOR ACADEMY w systemie stacjonarnym oraz w systemie zdalnym (online) </t>
  </si>
  <si>
    <t>Oświadczenie Administratora Danych Osobowych GREGOR ACADEMY.</t>
  </si>
  <si>
    <t>Wzór oświadczenia o wypowiedzeniu umowy.</t>
  </si>
  <si>
    <t xml:space="preserve">Poniższy hamonogram uwzglenia nadpłatę w wysokości </t>
  </si>
  <si>
    <t>Agnieszka Ringwelska</t>
  </si>
  <si>
    <t>Harmonogram płatności 2025/2026</t>
  </si>
  <si>
    <t>z rabatem (od 2 raty) za terminową wpłatę</t>
  </si>
  <si>
    <t>dni</t>
  </si>
  <si>
    <t>wpłacono</t>
  </si>
  <si>
    <t>wpłata
data</t>
  </si>
  <si>
    <t>odsetki</t>
  </si>
  <si>
    <t>Saldo</t>
  </si>
  <si>
    <t>Wymagana wpłata</t>
  </si>
  <si>
    <t xml:space="preserve">Rata </t>
  </si>
  <si>
    <t>Data</t>
  </si>
  <si>
    <t>Kwota</t>
  </si>
  <si>
    <t>68 1020 3583 0000 3002 0207 5364</t>
  </si>
  <si>
    <r>
      <t>Wpłaty na konto Banku PKO B.P. (Inteligo):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</si>
  <si>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Legenda:</t>
  </si>
  <si>
    <t>grupa jednoosobowa</t>
  </si>
  <si>
    <t>grupa dwuosobowa</t>
  </si>
  <si>
    <t>grupa trzyosobowa</t>
  </si>
  <si>
    <t>grupa zorganizowana</t>
  </si>
  <si>
    <t>Nie</t>
  </si>
  <si>
    <t>Tak</t>
  </si>
  <si>
    <t>Dzień</t>
  </si>
  <si>
    <t>Wrzesień</t>
  </si>
  <si>
    <t>Październik</t>
  </si>
  <si>
    <t>Listopad</t>
  </si>
  <si>
    <t>Grudzień</t>
  </si>
  <si>
    <t>Styczeń</t>
  </si>
  <si>
    <t>Luty</t>
  </si>
  <si>
    <t>Marzec</t>
  </si>
  <si>
    <t>Kwiecień</t>
  </si>
  <si>
    <t>Maj</t>
  </si>
  <si>
    <t>Czerwiec</t>
  </si>
  <si>
    <t>Lipiec</t>
  </si>
  <si>
    <t>Poniedziałek</t>
  </si>
  <si>
    <t>Ö</t>
  </si>
  <si>
    <t>LEGENDA</t>
  </si>
  <si>
    <t>Wtorek</t>
  </si>
  <si>
    <t>Środa</t>
  </si>
  <si>
    <t>Zajęcia</t>
  </si>
  <si>
    <t>Czwartek</t>
  </si>
  <si>
    <t>NR</t>
  </si>
  <si>
    <t>Przerwa Świąteczna</t>
  </si>
  <si>
    <t>BC</t>
  </si>
  <si>
    <t>Początek</t>
  </si>
  <si>
    <t>Piątek</t>
  </si>
  <si>
    <t>Majówka</t>
  </si>
  <si>
    <t>WŚ</t>
  </si>
  <si>
    <t>Wszystkich Świętych</t>
  </si>
  <si>
    <t>Matura</t>
  </si>
  <si>
    <t>Sobota</t>
  </si>
  <si>
    <t>Koniec</t>
  </si>
  <si>
    <t>Niedziela</t>
  </si>
  <si>
    <t>ŚN</t>
  </si>
  <si>
    <t>Święto Niepodległości</t>
  </si>
  <si>
    <t>3K</t>
  </si>
  <si>
    <t>Nowy Rok</t>
  </si>
  <si>
    <t>Święto Trzech Króli</t>
  </si>
  <si>
    <t>Boże Ciało</t>
  </si>
  <si>
    <t>Wolne - Nie ma zajęć</t>
  </si>
  <si>
    <t>Odrabianie zajęć</t>
  </si>
  <si>
    <t>Dodatkowe dni powszednie wolne</t>
  </si>
  <si>
    <t>maja</t>
  </si>
  <si>
    <t>Ferie zimowe</t>
  </si>
  <si>
    <t>Mateusz</t>
  </si>
  <si>
    <t>Terence</t>
  </si>
  <si>
    <t>Ilość dni</t>
  </si>
  <si>
    <t>Ilość zajęć do 31.05</t>
  </si>
  <si>
    <t>Ilość zajęć 30-06</t>
  </si>
  <si>
    <t>Tomasz Tyc</t>
  </si>
  <si>
    <t>Lp</t>
  </si>
  <si>
    <t>ul.</t>
  </si>
  <si>
    <t>PESEL</t>
  </si>
  <si>
    <t>tel</t>
  </si>
  <si>
    <t>mail</t>
  </si>
  <si>
    <t>kursant</t>
  </si>
  <si>
    <t>wiek</t>
  </si>
  <si>
    <t>szkoła</t>
  </si>
  <si>
    <t>klasa</t>
  </si>
  <si>
    <t>przedmiot</t>
  </si>
  <si>
    <t>Egzamin</t>
  </si>
  <si>
    <t>kontynu</t>
  </si>
  <si>
    <t>il_Os/Kurs</t>
  </si>
  <si>
    <t>certf</t>
  </si>
  <si>
    <t>06</t>
  </si>
  <si>
    <t>07</t>
  </si>
  <si>
    <t>płatność</t>
  </si>
  <si>
    <t>Grupa</t>
  </si>
  <si>
    <t>IL_H</t>
  </si>
  <si>
    <t>NR_Umowy</t>
  </si>
  <si>
    <t>13-300 Nowe Miasto Lubawskie</t>
  </si>
  <si>
    <t>Szkolna 4/4</t>
  </si>
  <si>
    <t>+48 790 243 827</t>
  </si>
  <si>
    <t>a.ringwelska@interia.pl</t>
  </si>
  <si>
    <t>Sylwia Kozłowska</t>
  </si>
  <si>
    <t>14-200 Iława</t>
  </si>
  <si>
    <t>Jagiellończyka 16A/20</t>
  </si>
  <si>
    <t>+48 697 715 972</t>
  </si>
  <si>
    <t>sylwia.warszawa@poczta.onet.pl</t>
  </si>
  <si>
    <t>Joanna Rosińska</t>
  </si>
  <si>
    <t xml:space="preserve">13-300 Nowe Miasto Lubawskie </t>
  </si>
  <si>
    <t>Jagiellońska 34/3</t>
  </si>
  <si>
    <t>+48 693 657 335</t>
  </si>
  <si>
    <t>joannapiendak@gmail.com</t>
  </si>
  <si>
    <t>Barbara Pawłowska</t>
  </si>
  <si>
    <t xml:space="preserve">14-200 Iława </t>
  </si>
  <si>
    <t>Porzeczkowa 3</t>
  </si>
  <si>
    <t>+48 690 992 232</t>
  </si>
  <si>
    <t>barbara.pawlowska1999@gmail.com</t>
  </si>
  <si>
    <t>Wojciech Roszak</t>
  </si>
  <si>
    <t>Ogrodowa 9</t>
  </si>
  <si>
    <t>+48 570 799 487</t>
  </si>
  <si>
    <t>wojrosz@gmail.com</t>
  </si>
  <si>
    <t>Joanna Mielnik</t>
  </si>
  <si>
    <t xml:space="preserve">Kamionki 17i </t>
  </si>
  <si>
    <t>+48 798 614 471</t>
  </si>
  <si>
    <t>mielnik_j@o2.pl</t>
  </si>
  <si>
    <t>Piotra Skargi 2/11</t>
  </si>
  <si>
    <t>Karolina Cieciuch</t>
  </si>
  <si>
    <t>+48 574 230 944</t>
  </si>
  <si>
    <t>karolin150885@icloud.com</t>
  </si>
  <si>
    <t>14-260 Sampława</t>
  </si>
  <si>
    <t>Sampława 14b</t>
  </si>
  <si>
    <t>Regina Pokojska</t>
  </si>
  <si>
    <t>+48 530 090 584</t>
  </si>
  <si>
    <t>regina.wp@wp.pl</t>
  </si>
  <si>
    <t>Beata Kuhnwald</t>
  </si>
  <si>
    <t xml:space="preserve">14-260 Lubawa </t>
  </si>
  <si>
    <t>Samplawa 57</t>
  </si>
  <si>
    <t>+48 698 028 045</t>
  </si>
  <si>
    <t>beatakuhnwald@gmail.com</t>
  </si>
  <si>
    <t>Jowita Święcka</t>
  </si>
  <si>
    <t>Smolki 4/11</t>
  </si>
  <si>
    <t>+48 881 086 064</t>
  </si>
  <si>
    <t>jowitaswiecka72@gmail.com</t>
  </si>
  <si>
    <t>Kościuszki 39/15</t>
  </si>
  <si>
    <t>Aneta Racka</t>
  </si>
  <si>
    <t>+48 727 766 096</t>
  </si>
  <si>
    <t>anetaracka123@gmail.com</t>
  </si>
  <si>
    <t>Beata Listkowska</t>
  </si>
  <si>
    <t>14-200 IŁAWA</t>
  </si>
  <si>
    <t>DĄBROWSKIEGO 8/25</t>
  </si>
  <si>
    <t>+48 606 324 912</t>
  </si>
  <si>
    <t>maxifafik@wp.pl</t>
  </si>
  <si>
    <t>Marek Klimik</t>
  </si>
  <si>
    <t>Piastowska 6/38</t>
  </si>
  <si>
    <t>+48 531 423 831</t>
  </si>
  <si>
    <t>klimik.m@wp.pl</t>
  </si>
  <si>
    <t>14-200 Wikielec</t>
  </si>
  <si>
    <t>Jaworowa 20</t>
  </si>
  <si>
    <t>AGNIESZKA SZYMAŃSKA</t>
  </si>
  <si>
    <t>+48 65 443 14 80</t>
  </si>
  <si>
    <t>a.szymanska2@onet.pl</t>
  </si>
  <si>
    <t>Katarzyna Sobocińska</t>
  </si>
  <si>
    <t>14-200  Iława</t>
  </si>
  <si>
    <t>Gdańska 5b/20</t>
  </si>
  <si>
    <t>+48 691 954 094</t>
  </si>
  <si>
    <t>kasiaijaca@wp.pl</t>
  </si>
  <si>
    <t>Anna Nikczeńska</t>
  </si>
  <si>
    <t>Wrzosowa 18</t>
  </si>
  <si>
    <t>+48 508 792 203</t>
  </si>
  <si>
    <t>ania.natka@op.pl</t>
  </si>
  <si>
    <t>Wojciech Kożuchowski</t>
  </si>
  <si>
    <t>14-202 Ząbrowo</t>
  </si>
  <si>
    <t>Szkolna 15</t>
  </si>
  <si>
    <t>+48 453 273 046</t>
  </si>
  <si>
    <t>did0@wp.pl</t>
  </si>
  <si>
    <t>Emilia Piecuch</t>
  </si>
  <si>
    <t>Jana Matejki 3e/2</t>
  </si>
  <si>
    <t>+48 721 815 613</t>
  </si>
  <si>
    <t>emiliapiecuch706@gmail.com</t>
  </si>
  <si>
    <t>Kamila Truszczyńska</t>
  </si>
  <si>
    <t>13-306 Kurzętnik</t>
  </si>
  <si>
    <t>Kopernika 12</t>
  </si>
  <si>
    <t>+48 604 922 512</t>
  </si>
  <si>
    <t>kamila.o@wp.pl</t>
  </si>
  <si>
    <t>Edyta Bylińska</t>
  </si>
  <si>
    <t>Krokusowa 3</t>
  </si>
  <si>
    <t>+48 605 168 467</t>
  </si>
  <si>
    <t>edysia324@wp.pl</t>
  </si>
  <si>
    <t>Marzena Szymańska</t>
  </si>
  <si>
    <t>SAMPŁAWA 40</t>
  </si>
  <si>
    <t>+48 515 241 447</t>
  </si>
  <si>
    <t>marzena270609@wp.pl</t>
  </si>
  <si>
    <t>Joanna Klimik</t>
  </si>
  <si>
    <t>Kościuszki 5A/F13</t>
  </si>
  <si>
    <t>+48 798 993 915</t>
  </si>
  <si>
    <t>klimikjoanna@gmail.com</t>
  </si>
  <si>
    <t>+48 510 990 460</t>
  </si>
  <si>
    <t>Magdalena Błaszkowska</t>
  </si>
  <si>
    <t>Kościuszki 35A/28</t>
  </si>
  <si>
    <t>+48 502 174 080</t>
  </si>
  <si>
    <t>magblasz@interia.pl</t>
  </si>
  <si>
    <t xml:space="preserve">13-324 Mroczenko </t>
  </si>
  <si>
    <t xml:space="preserve">Mroczenko 37 </t>
  </si>
  <si>
    <t>+48 516 079 241</t>
  </si>
  <si>
    <t>jastrzebskabarbara09@gmail.com</t>
  </si>
  <si>
    <t>Monika Nidzworska</t>
  </si>
  <si>
    <t>14-260 Lubawa</t>
  </si>
  <si>
    <t xml:space="preserve">Plac zamkowy 1 </t>
  </si>
  <si>
    <t>+48 500 222 926</t>
  </si>
  <si>
    <t>monikakazanice12@wp.pl</t>
  </si>
  <si>
    <t>Sylwia Adamska</t>
  </si>
  <si>
    <t>Sampława 75</t>
  </si>
  <si>
    <t>+48 511 863 758</t>
  </si>
  <si>
    <t>sylwiacwiklinska4@wp.pl</t>
  </si>
  <si>
    <t>Milena Gogolew</t>
  </si>
  <si>
    <t xml:space="preserve">14-200  Iława </t>
  </si>
  <si>
    <t>Barlickiego 18</t>
  </si>
  <si>
    <t>+48 695 284 836</t>
  </si>
  <si>
    <t>milena.gogolew@wp.pl</t>
  </si>
  <si>
    <t>Anna Gromek</t>
  </si>
  <si>
    <t xml:space="preserve">14-241  Ząbrowo </t>
  </si>
  <si>
    <t>Szkolna 3/2</t>
  </si>
  <si>
    <t>+48 515 388 178</t>
  </si>
  <si>
    <t>annaosowska10@wp.pl</t>
  </si>
  <si>
    <t>Kościuszki 39/32</t>
  </si>
  <si>
    <t>Ewa Owierkowicz</t>
  </si>
  <si>
    <t>+48 507 104 808</t>
  </si>
  <si>
    <t>ewaowier@o2.pl</t>
  </si>
  <si>
    <t>Joanna Kanicz</t>
  </si>
  <si>
    <t>Górna 1</t>
  </si>
  <si>
    <t>+48 881 433 117</t>
  </si>
  <si>
    <t>jkanicz@wp.pl</t>
  </si>
  <si>
    <t>Monika Czapska</t>
  </si>
  <si>
    <t>13-300 Mszanowo</t>
  </si>
  <si>
    <t>Piaskowa 10</t>
  </si>
  <si>
    <t>+48 668 502 724</t>
  </si>
  <si>
    <t>monzak15@wp.pl</t>
  </si>
  <si>
    <t>Kościuszki 13/1</t>
  </si>
  <si>
    <t>Mateusz Gamalski</t>
  </si>
  <si>
    <t>+48 514 601 595</t>
  </si>
  <si>
    <t>matgamalski@gmail.com</t>
  </si>
  <si>
    <t>004/24</t>
  </si>
  <si>
    <t>Julia Wasiak</t>
  </si>
  <si>
    <t>14-200 Stradomno</t>
  </si>
  <si>
    <t>Stradomno 20A</t>
  </si>
  <si>
    <t>+48 536 816 018</t>
  </si>
  <si>
    <t>julksonwasiak@gmail.com</t>
  </si>
  <si>
    <t>87-313 Brzozie</t>
  </si>
  <si>
    <t>Wielki Głęboczek 4</t>
  </si>
  <si>
    <t>Agnieszka Małkiewicz</t>
  </si>
  <si>
    <t>+48 505 313 331</t>
  </si>
  <si>
    <t>agnieszka-pokojska@wp.pl</t>
  </si>
  <si>
    <t>Tomasz Gamalski</t>
  </si>
  <si>
    <t>+48 572 300 452</t>
  </si>
  <si>
    <t>t.gamalski@gmail.com</t>
  </si>
  <si>
    <t>Kamila Kozłowska</t>
  </si>
  <si>
    <t>Siostry Antoniny Schneider 1/26</t>
  </si>
  <si>
    <t>+48 696 465 902</t>
  </si>
  <si>
    <t>kozlowska.kamila.maria@gmail.com</t>
  </si>
  <si>
    <t>Magdalena Smoczyńska</t>
  </si>
  <si>
    <t>Skarszewo 56/1</t>
  </si>
  <si>
    <t>+48 533 946 324</t>
  </si>
  <si>
    <t>smoczynskam1@gmail.com</t>
  </si>
  <si>
    <t>Anna Warmińska</t>
  </si>
  <si>
    <t>Brzozie 169</t>
  </si>
  <si>
    <t>+48 503 054 169</t>
  </si>
  <si>
    <t>aniaanna1@o2.pl</t>
  </si>
  <si>
    <t>Marek Lubieniecki</t>
  </si>
  <si>
    <t xml:space="preserve">13-300 Pacółtowo </t>
  </si>
  <si>
    <t>Kolorowa 17</t>
  </si>
  <si>
    <t>+48 510 990 993</t>
  </si>
  <si>
    <t>marko23237@wp.pl</t>
  </si>
  <si>
    <t>Patrycja Krawczyk</t>
  </si>
  <si>
    <t>13-300 nowe Miasto lubawskie</t>
  </si>
  <si>
    <t>Narutowicza 56F</t>
  </si>
  <si>
    <t>+48 509 961 968</t>
  </si>
  <si>
    <t>bodek80@onet.eu</t>
  </si>
  <si>
    <t>Sampława 38</t>
  </si>
  <si>
    <t>KINGA ZIELIŃSKA</t>
  </si>
  <si>
    <t>+48 513 875 594</t>
  </si>
  <si>
    <t>kzielinska46@wp.pl</t>
  </si>
  <si>
    <t>07220701557</t>
  </si>
  <si>
    <t>Maksymilian Wilary</t>
  </si>
  <si>
    <t>Kazimierza Odnowiciela 8</t>
  </si>
  <si>
    <t>+48 733 236 057</t>
  </si>
  <si>
    <t>maksymilian5802@gmail.com</t>
  </si>
  <si>
    <t>Alina Wróblewska</t>
  </si>
  <si>
    <t xml:space="preserve">14-200  IŁAWA </t>
  </si>
  <si>
    <t>Odnowiciela 2/16</t>
  </si>
  <si>
    <t>+48 608 729 479</t>
  </si>
  <si>
    <t>alinakb@wp.pl</t>
  </si>
  <si>
    <t>Monika Szefler</t>
  </si>
  <si>
    <t>Szałkowo 102</t>
  </si>
  <si>
    <t>+48 536 355 417</t>
  </si>
  <si>
    <t>monia8505@wp.pl</t>
  </si>
  <si>
    <t>Alina Witkowska-Tatarek</t>
  </si>
  <si>
    <t>13-220 Rybno</t>
  </si>
  <si>
    <t>Lubawska, 45</t>
  </si>
  <si>
    <t>+48 798 058 607</t>
  </si>
  <si>
    <t>alina.wit@interia.pl</t>
  </si>
  <si>
    <t>+48 789 889 095</t>
  </si>
  <si>
    <t>Marta Kuźniewska</t>
  </si>
  <si>
    <t>Dobrawy 21a</t>
  </si>
  <si>
    <t>+48 693 700 027</t>
  </si>
  <si>
    <t>mkuzniewska@wp.pl</t>
  </si>
  <si>
    <t>Matejki 1/76</t>
  </si>
  <si>
    <t>Alina Piotrowska</t>
  </si>
  <si>
    <t>14-200  Nowa Wieś</t>
  </si>
  <si>
    <t>Jowisza 64</t>
  </si>
  <si>
    <t>+48 723 663 139</t>
  </si>
  <si>
    <t>alina_piotrowska@tlen.pl</t>
  </si>
  <si>
    <t xml:space="preserve"> Jowisza 64</t>
  </si>
  <si>
    <t>+48 661 564 990</t>
  </si>
  <si>
    <t>Dorota Umińska</t>
  </si>
  <si>
    <t>Kornatki 38</t>
  </si>
  <si>
    <t>+48 507 848 921</t>
  </si>
  <si>
    <t>dorota.u.23@wp.pl</t>
  </si>
  <si>
    <t>Aneta Markuszewska</t>
  </si>
  <si>
    <t>Konstytucji 3c/14</t>
  </si>
  <si>
    <t>+48 530 850 399</t>
  </si>
  <si>
    <t>aneti.nml@wp.pl</t>
  </si>
  <si>
    <t>Dagmara Zawieracz</t>
  </si>
  <si>
    <t>Grunwaldzka 11/21</t>
  </si>
  <si>
    <t>+48 693 527 216</t>
  </si>
  <si>
    <t>dagmara.zaw@wp.pl</t>
  </si>
  <si>
    <t>Aneta Detyna</t>
  </si>
  <si>
    <t>Gdańska 5B/29</t>
  </si>
  <si>
    <t>+48 513 014 670</t>
  </si>
  <si>
    <t>detyn@wp.pl</t>
  </si>
  <si>
    <t>Aneta Naworska</t>
  </si>
  <si>
    <t>14-241 Ząbrowo</t>
  </si>
  <si>
    <t>Kolejowa 30</t>
  </si>
  <si>
    <t>+48 789 165 500</t>
  </si>
  <si>
    <t>aneta.naworska74@gmail.com</t>
  </si>
  <si>
    <t>Monika Maraszek</t>
  </si>
  <si>
    <t>14-240 Susz</t>
  </si>
  <si>
    <t>Sucharskiego 9</t>
  </si>
  <si>
    <t>+48 794 247 778</t>
  </si>
  <si>
    <t>monika.maraszek@o2.pl</t>
  </si>
  <si>
    <t>Magdalena Tarchanow</t>
  </si>
  <si>
    <t>13-300 Pacółtowo</t>
  </si>
  <si>
    <t>ul Łąkowa 4</t>
  </si>
  <si>
    <t>+48 721 374 650</t>
  </si>
  <si>
    <t>m.tarchanow@o2.pl</t>
  </si>
  <si>
    <t>Piastowska 4/41</t>
  </si>
  <si>
    <t>Alina Hetnar-Wójcicka</t>
  </si>
  <si>
    <t>+48 669 231 289</t>
  </si>
  <si>
    <t>hetnarka@tlen.pl</t>
  </si>
  <si>
    <t>Ewa Ostrowska</t>
  </si>
  <si>
    <t xml:space="preserve">14-220 Kisielice </t>
  </si>
  <si>
    <t>Zagrodowa , 2A</t>
  </si>
  <si>
    <t>+48 539 689 211</t>
  </si>
  <si>
    <t>ewa.ostrowska@opoczta.pl</t>
  </si>
  <si>
    <t>+48 787 989 330</t>
  </si>
  <si>
    <t>K. K. Baczyńskiego 1A/50</t>
  </si>
  <si>
    <t>Przemysłowa 2a</t>
  </si>
  <si>
    <t>+48 791 862 181</t>
  </si>
  <si>
    <t>tomikami@op.pl</t>
  </si>
  <si>
    <t>Aneta Bojanowska</t>
  </si>
  <si>
    <t>14-202 Laseczno Małe</t>
  </si>
  <si>
    <t>Laseczno Małe 79</t>
  </si>
  <si>
    <t>+48 506 136 797</t>
  </si>
  <si>
    <t>anetahohorowska@wp.pl</t>
  </si>
  <si>
    <t>Renata Kowalska</t>
  </si>
  <si>
    <t>Krótka 15</t>
  </si>
  <si>
    <t>+48 605 046 467</t>
  </si>
  <si>
    <t>kowalskarenata16@gmail.com</t>
  </si>
  <si>
    <t>Samanta Szpakowska</t>
  </si>
  <si>
    <t>13-332 Jamielnik</t>
  </si>
  <si>
    <t>Ks. Jana Batke 4</t>
  </si>
  <si>
    <t>+48 502 716 945</t>
  </si>
  <si>
    <t>samanciaq@gmail.com</t>
  </si>
  <si>
    <t>Alicja Wiśniewska</t>
  </si>
  <si>
    <t>+48 722 081 288</t>
  </si>
  <si>
    <t>wisniewska.alicjaaa@gmail.com</t>
  </si>
  <si>
    <t>03-804 Warszawa</t>
  </si>
  <si>
    <t>Bliska 17/120</t>
  </si>
  <si>
    <t>Klaudia Adamska</t>
  </si>
  <si>
    <t>Liliowa 6</t>
  </si>
  <si>
    <t>+48 781 545 894</t>
  </si>
  <si>
    <t>adamska.klaudia89@gmail.com</t>
  </si>
  <si>
    <t>Magdalena Getka</t>
  </si>
  <si>
    <t>13-340 Krotoszyny</t>
  </si>
  <si>
    <t>Bielice 21b </t>
  </si>
  <si>
    <t>Miłosz Puchalski</t>
  </si>
  <si>
    <t>+48 512 201 197</t>
  </si>
  <si>
    <t>puchalskimilosz600@gmail.com</t>
  </si>
  <si>
    <t>Długa 45</t>
  </si>
  <si>
    <t>EMILIA Kubacka</t>
  </si>
  <si>
    <t>+48 515 085 600</t>
  </si>
  <si>
    <t>cmb.emiliakubacka@gmail.com</t>
  </si>
  <si>
    <t>Laseczno Małe 92</t>
  </si>
  <si>
    <t>Monika Łukomska</t>
  </si>
  <si>
    <t>Laseczno Małe</t>
  </si>
  <si>
    <t>+48 667 230 227</t>
  </si>
  <si>
    <t>monikalukasz1985@wp.pl</t>
  </si>
  <si>
    <t>Anna Błażejewska</t>
  </si>
  <si>
    <t>Narutowicza 11/8</t>
  </si>
  <si>
    <t>05212602523</t>
  </si>
  <si>
    <t>+48 660 512 716</t>
  </si>
  <si>
    <t>anitka1407@wp.pl</t>
  </si>
  <si>
    <t xml:space="preserve"> </t>
  </si>
  <si>
    <t>Szeptyckiego 7/9</t>
  </si>
  <si>
    <t>Lawendowa 12</t>
  </si>
  <si>
    <t>Marzena Surmacz</t>
  </si>
  <si>
    <t>surmaczm85.ms@gmail.com</t>
  </si>
  <si>
    <t>14-202 Iława</t>
  </si>
  <si>
    <t>Smolki 6c/5</t>
  </si>
  <si>
    <t>Natalia Zawieracz</t>
  </si>
  <si>
    <t>3 maja 2/4</t>
  </si>
  <si>
    <t>zawieraczn@op.pl</t>
  </si>
  <si>
    <t>Grudziądzka 19a</t>
  </si>
  <si>
    <t>Ilona Paturalska</t>
  </si>
  <si>
    <t>Grudziądzka 19a</t>
  </si>
  <si>
    <t>ilonau1@wp.pl</t>
  </si>
  <si>
    <t>14-204 Rudzienice</t>
  </si>
  <si>
    <t>Iławska 2</t>
  </si>
  <si>
    <t>Justyna Jurkiewicz</t>
  </si>
  <si>
    <t>Waraksiewicza 9</t>
  </si>
  <si>
    <t>justyna.fikier@poczta.onet.pl</t>
  </si>
  <si>
    <t>14-200 Frednowy</t>
  </si>
  <si>
    <t>Frednowy 54B</t>
  </si>
  <si>
    <t>Małgorzata Wrobel</t>
  </si>
  <si>
    <t>FREDNOWY 54B</t>
  </si>
  <si>
    <t>mgw80@op.pl</t>
  </si>
  <si>
    <t>Liliowa 14</t>
  </si>
  <si>
    <t>Magdalena Nowak</t>
  </si>
  <si>
    <t xml:space="preserve">Liliowa 14,  Wikielec </t>
  </si>
  <si>
    <t>nowak.magdzia82@gmail.com</t>
  </si>
  <si>
    <t>Łukasz Nowak</t>
  </si>
  <si>
    <t>lukaszyk.nowak@gmail.com</t>
  </si>
  <si>
    <t>Gen. Maczka 16</t>
  </si>
  <si>
    <t>Aneta Miszewska</t>
  </si>
  <si>
    <t>Gen. Maczka 16</t>
  </si>
  <si>
    <t>krzysztof-miszewski1@wp.pl</t>
  </si>
  <si>
    <t>Frednowy 58</t>
  </si>
  <si>
    <t>Krzysztof Jakielski</t>
  </si>
  <si>
    <t>krzysztofqjakielski@wp.pl</t>
  </si>
  <si>
    <t>Królowej Jadwigi 16A/6</t>
  </si>
  <si>
    <t>Ewa Trzebiatowska-Maciejko</t>
  </si>
  <si>
    <t>Kazimierza Wielkiego 4 m 55</t>
  </si>
  <si>
    <t>ewa7706@wp.pl</t>
  </si>
  <si>
    <t>Zalewska 146</t>
  </si>
  <si>
    <t>Karolina Kubańska</t>
  </si>
  <si>
    <t>Sampława</t>
  </si>
  <si>
    <t>kubanska.karolina@gmail.com</t>
  </si>
  <si>
    <t>sklodowska 23c 23/c</t>
  </si>
  <si>
    <t>MAGDALENA Józefowicz</t>
  </si>
  <si>
    <t>tuptus44@wp.pl</t>
  </si>
  <si>
    <t>Narutowicza 1/14</t>
  </si>
  <si>
    <t>Katarzyna Tasarz</t>
  </si>
  <si>
    <t>Narutowicza 1/14</t>
  </si>
  <si>
    <t>kasiatasarz32@gmail.com</t>
  </si>
  <si>
    <t>Brzozie 169</t>
  </si>
  <si>
    <t>Tadeusza Kościuszki 16/22</t>
  </si>
  <si>
    <t>Tomasz Kaczyński</t>
  </si>
  <si>
    <t>syla117@op.pl</t>
  </si>
  <si>
    <t>14-200 Laseczno</t>
  </si>
  <si>
    <t>Laseczno 54/A</t>
  </si>
  <si>
    <t>Edyta Lewandowska</t>
  </si>
  <si>
    <t>lewandowskae48@gmail.com</t>
  </si>
  <si>
    <t>Szeptyckiego 4/24</t>
  </si>
  <si>
    <t>Rzepnikowskiego 54</t>
  </si>
  <si>
    <t>Anna Tykarska</t>
  </si>
  <si>
    <t>14-260  Lubawa</t>
  </si>
  <si>
    <t>Rzepnikowskiego 54</t>
  </si>
  <si>
    <t>A.niesiobedzka@gmail.com</t>
  </si>
  <si>
    <t>Bolesława śmiałego 4</t>
  </si>
  <si>
    <t>Katarzyna Tatarek</t>
  </si>
  <si>
    <t>14-200 Nowa Wieś</t>
  </si>
  <si>
    <t>Księżycowa 3</t>
  </si>
  <si>
    <t>kasiatatarek@o2.pl</t>
  </si>
  <si>
    <t>Sikorskiego 27</t>
  </si>
  <si>
    <t>Marta Karbowska</t>
  </si>
  <si>
    <t>Sikorskiego 27</t>
  </si>
  <si>
    <t>marta.karbowska@interia.pl</t>
  </si>
  <si>
    <t>Piastowska 4/41</t>
  </si>
  <si>
    <t>14-260 Susz</t>
  </si>
  <si>
    <t>Adamowo 18M</t>
  </si>
  <si>
    <t>Joanna Dumkiewicz</t>
  </si>
  <si>
    <t>Dziarnówko 8b</t>
  </si>
  <si>
    <t>joanna624@op.pl</t>
  </si>
  <si>
    <t>Kopernika 4C, 28</t>
  </si>
  <si>
    <t>Magdalena Szcześniak</t>
  </si>
  <si>
    <t>14260 Lubawa</t>
  </si>
  <si>
    <t>Złotowo 96B</t>
  </si>
  <si>
    <t>magda-sep@wp.pl</t>
  </si>
  <si>
    <t>KSIĘŻYCOWA 13</t>
  </si>
  <si>
    <t>ANNA Gaj</t>
  </si>
  <si>
    <t>kinia2781@wp.pl</t>
  </si>
  <si>
    <t>doktora Teofila Rzepnikowskiego 10</t>
  </si>
  <si>
    <t>13-300 PACÓŁTOWO</t>
  </si>
  <si>
    <t>BERLINEK 8</t>
  </si>
  <si>
    <t>Żurawia 8</t>
  </si>
  <si>
    <t>Chełmońskiego 10</t>
  </si>
  <si>
    <t>WyszYńskiego 37A/40</t>
  </si>
  <si>
    <t>Królowej Jadwigi 20A/15</t>
  </si>
  <si>
    <t>Jabłoniowa 12</t>
  </si>
  <si>
    <t>RAFAŁ JANUSZ MATUKIEWICZ GEN. WARAKSIEWICZA 9</t>
  </si>
  <si>
    <t>z dnia 01 czerwca 2026 roku.</t>
  </si>
  <si>
    <t>Kalendarz GREGOR ACADEMY na  rok szkolny 2026/2027.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</si>
</sst>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#,##0.00&quot; zł&quot;"/>
    <numFmt numFmtId="165" formatCode="[&lt;=999999]###,###,###;\+###,###,###,###"/>
    <numFmt numFmtId="166" formatCode="ddd"/>
    <numFmt numFmtId="167" formatCode="[$-415]d\ mmm\ yy;@"/>
    <numFmt numFmtId="168" formatCode="0.0"/>
    <numFmt numFmtId="169" formatCode="#,##0.00\ &quot;zł&quot;"/>
    <numFmt numFmtId="170" formatCode="#,##0.00_ ;[Red]\-#,##0.00\ "/>
    <numFmt numFmtId="171" formatCode="#,##0.00_ ;\-#,##0.00\ "/>
    <numFmt numFmtId="172" formatCode="mmm"/>
    <numFmt numFmtId="173" formatCode="[$-415]d\ mmmm\ yyyy;@"/>
    <numFmt numFmtId="174" formatCode="yyyy\-mm\-dd\ hh:mm:ss"/>
    <numFmt numFmtId="175" formatCode="mmmm/yyyy"/>
  </numFmts>
  <fonts count="45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9"/>
      <color theme="1"/>
      <name val="Calibri"/>
      <family val="2"/>
      <charset val="238"/>
      <scheme val="minor"/>
    </font>
    <font>
      <sz val="8"/>
      <color rgb="FF0070C0"/>
      <name val="Calibri"/>
      <family val="2"/>
      <charset val="238"/>
      <scheme val="minor"/>
    </font>
    <font>
      <sz val="8"/>
      <color rgb="FF00B0F0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theme="0" tint="-4.9989318521683403E-2"/>
      <name val="Calibri"/>
      <family val="2"/>
      <charset val="238"/>
      <scheme val="minor"/>
    </font>
    <font>
      <b/>
      <sz val="20"/>
      <color rgb="FFCC0000"/>
      <name val="Calibri"/>
      <family val="2"/>
      <charset val="238"/>
      <scheme val="minor"/>
    </font>
    <font>
      <b/>
      <sz val="16"/>
      <color rgb="FFCC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9"/>
      <color rgb="FF0070C0"/>
      <name val="Segoe UI Historic"/>
      <family val="2"/>
    </font>
    <font>
      <sz val="9"/>
      <color theme="0"/>
      <name val="Segoe UI Historic"/>
      <family val="2"/>
    </font>
    <font>
      <b/>
      <sz val="8"/>
      <color rgb="FF0070C0"/>
      <name val="Calibri"/>
      <family val="2"/>
      <charset val="238"/>
      <scheme val="minor"/>
    </font>
    <font>
      <sz val="7"/>
      <color rgb="FF0070C0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  <font>
      <b/>
      <sz val="10"/>
      <color theme="1"/>
      <name val="Symbol"/>
      <family val="1"/>
      <charset val="2"/>
    </font>
    <font>
      <sz val="1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sz val="8"/>
      <color theme="0"/>
      <name val="Calibri"/>
      <family val="2"/>
      <charset val="238"/>
      <scheme val="minor"/>
    </font>
    <font>
      <sz val="7"/>
      <color theme="1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AEFA2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0F12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0000"/>
        <bgColor indexed="64"/>
      </patternFill>
    </fill>
    <fill>
      <gradientFill>
        <stop position="0">
          <color rgb="FF66FF33"/>
        </stop>
        <stop position="1">
          <color rgb="FF00FFFF"/>
        </stop>
      </gradient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2D050"/>
        <bgColor indexed="64"/>
      </patternFill>
    </fill>
    <fill>
      <gradientFill>
        <stop position="0">
          <color theme="0"/>
        </stop>
        <stop position="1">
          <color rgb="FF99FF99"/>
        </stop>
      </gradient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5" fillId="0" borderId="0"/>
    <xf numFmtId="0" fontId="40" fillId="0" borderId="0"/>
  </cellStyleXfs>
  <cellXfs count="290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2" borderId="0" xfId="0" applyFont="1" applyFill="1"/>
    <xf numFmtId="14" fontId="7" fillId="0" borderId="0" xfId="0" applyNumberFormat="1" applyFont="1"/>
    <xf numFmtId="164" fontId="7" fillId="0" borderId="0" xfId="0" applyNumberFormat="1" applyFont="1"/>
    <xf numFmtId="0" fontId="0" fillId="0" borderId="0" xfId="0" applyAlignment="1">
      <alignment vertical="center"/>
    </xf>
    <xf numFmtId="14" fontId="6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Protection="1">
      <protection locked="0"/>
    </xf>
    <xf numFmtId="0" fontId="9" fillId="0" borderId="0" xfId="1" applyProtection="1">
      <protection locked="0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/>
    <xf numFmtId="0" fontId="12" fillId="0" borderId="0" xfId="0" applyFont="1" applyAlignment="1">
      <alignment vertical="center"/>
    </xf>
    <xf numFmtId="166" fontId="7" fillId="0" borderId="0" xfId="0" applyNumberFormat="1" applyFont="1"/>
    <xf numFmtId="0" fontId="7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9" fillId="0" borderId="0" xfId="1"/>
    <xf numFmtId="167" fontId="7" fillId="0" borderId="0" xfId="0" applyNumberFormat="1" applyFont="1"/>
    <xf numFmtId="0" fontId="14" fillId="0" borderId="0" xfId="0" applyFont="1" applyAlignment="1">
      <alignment horizontal="center"/>
    </xf>
    <xf numFmtId="14" fontId="6" fillId="0" borderId="0" xfId="0" applyNumberFormat="1" applyFont="1"/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9" fontId="7" fillId="0" borderId="0" xfId="0" applyNumberFormat="1" applyFont="1"/>
    <xf numFmtId="169" fontId="7" fillId="0" borderId="0" xfId="0" applyNumberFormat="1" applyFo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169" fontId="18" fillId="2" borderId="0" xfId="0" applyNumberFormat="1" applyFont="1" applyFill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44" fontId="7" fillId="3" borderId="0" xfId="0" applyNumberFormat="1" applyFont="1" applyFill="1"/>
    <xf numFmtId="44" fontId="7" fillId="0" borderId="0" xfId="0" applyNumberFormat="1" applyFont="1"/>
    <xf numFmtId="170" fontId="7" fillId="3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1" fontId="7" fillId="2" borderId="0" xfId="0" applyNumberFormat="1" applyFont="1" applyFill="1"/>
    <xf numFmtId="171" fontId="7" fillId="4" borderId="0" xfId="0" applyNumberFormat="1" applyFont="1" applyFill="1"/>
    <xf numFmtId="171" fontId="7" fillId="5" borderId="0" xfId="0" applyNumberFormat="1" applyFont="1" applyFill="1"/>
    <xf numFmtId="0" fontId="2" fillId="0" borderId="0" xfId="0" applyFont="1"/>
    <xf numFmtId="169" fontId="3" fillId="0" borderId="0" xfId="0" applyNumberFormat="1" applyFont="1"/>
    <xf numFmtId="169" fontId="6" fillId="0" borderId="0" xfId="0" applyNumberFormat="1" applyFont="1" applyAlignment="1">
      <alignment horizontal="center" vertical="center"/>
    </xf>
    <xf numFmtId="10" fontId="19" fillId="6" borderId="0" xfId="0" applyNumberFormat="1" applyFont="1" applyFill="1"/>
    <xf numFmtId="169" fontId="0" fillId="0" borderId="0" xfId="0" applyNumberFormat="1"/>
    <xf numFmtId="10" fontId="6" fillId="0" borderId="0" xfId="0" applyNumberFormat="1" applyFont="1"/>
    <xf numFmtId="0" fontId="4" fillId="0" borderId="0" xfId="0" applyFont="1"/>
    <xf numFmtId="0" fontId="16" fillId="7" borderId="0" xfId="0" applyFont="1" applyFill="1" applyAlignment="1">
      <alignment horizontal="center" vertical="center" wrapText="1"/>
    </xf>
    <xf numFmtId="9" fontId="17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69" fontId="6" fillId="0" borderId="0" xfId="0" applyNumberFormat="1" applyFont="1"/>
    <xf numFmtId="170" fontId="7" fillId="7" borderId="0" xfId="0" applyNumberFormat="1" applyFont="1" applyFill="1"/>
    <xf numFmtId="171" fontId="7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171" fontId="7" fillId="7" borderId="0" xfId="0" applyNumberFormat="1" applyFont="1" applyFill="1"/>
    <xf numFmtId="0" fontId="7" fillId="7" borderId="0" xfId="0" applyFont="1" applyFill="1"/>
    <xf numFmtId="9" fontId="6" fillId="0" borderId="0" xfId="0" applyNumberFormat="1" applyFont="1" applyAlignment="1">
      <alignment horizontal="center"/>
    </xf>
    <xf numFmtId="172" fontId="7" fillId="8" borderId="0" xfId="0" applyNumberFormat="1" applyFont="1" applyFill="1" applyAlignment="1">
      <alignment horizontal="center" vertical="center"/>
    </xf>
    <xf numFmtId="9" fontId="7" fillId="8" borderId="0" xfId="0" applyNumberFormat="1" applyFont="1" applyFill="1" applyAlignment="1">
      <alignment horizontal="center" vertical="center"/>
    </xf>
    <xf numFmtId="0" fontId="7" fillId="8" borderId="0" xfId="0" applyFont="1" applyFill="1"/>
    <xf numFmtId="4" fontId="7" fillId="8" borderId="0" xfId="0" applyNumberFormat="1" applyFont="1" applyFill="1" applyAlignment="1">
      <alignment horizontal="right" vertical="center"/>
    </xf>
    <xf numFmtId="17" fontId="7" fillId="0" borderId="0" xfId="0" applyNumberFormat="1" applyFont="1"/>
    <xf numFmtId="169" fontId="18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4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17" fillId="8" borderId="0" xfId="0" applyFont="1" applyFill="1"/>
    <xf numFmtId="0" fontId="6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0" fillId="4" borderId="0" xfId="0" applyFill="1"/>
    <xf numFmtId="164" fontId="21" fillId="4" borderId="0" xfId="0" applyNumberFormat="1" applyFont="1" applyFill="1" applyAlignment="1" applyProtection="1">
      <alignment horizontal="center" wrapText="1"/>
      <protection hidden="1"/>
    </xf>
    <xf numFmtId="0" fontId="21" fillId="4" borderId="0" xfId="0" applyFont="1" applyFill="1" applyAlignment="1" applyProtection="1">
      <alignment horizontal="right"/>
      <protection hidden="1"/>
    </xf>
    <xf numFmtId="0" fontId="14" fillId="9" borderId="0" xfId="0" applyFont="1" applyFill="1" applyAlignment="1">
      <alignment horizontal="left"/>
    </xf>
    <xf numFmtId="0" fontId="0" fillId="9" borderId="0" xfId="0" applyFill="1" applyAlignment="1">
      <alignment vertical="center"/>
    </xf>
    <xf numFmtId="0" fontId="6" fillId="9" borderId="0" xfId="0" applyFont="1" applyFill="1" applyAlignment="1">
      <alignment horizontal="center" vertical="center" wrapText="1"/>
    </xf>
    <xf numFmtId="0" fontId="0" fillId="9" borderId="0" xfId="0" applyFill="1"/>
    <xf numFmtId="164" fontId="21" fillId="9" borderId="0" xfId="0" applyNumberFormat="1" applyFont="1" applyFill="1" applyAlignment="1" applyProtection="1">
      <alignment horizontal="center" wrapText="1"/>
      <protection hidden="1"/>
    </xf>
    <xf numFmtId="173" fontId="6" fillId="9" borderId="4" xfId="0" applyNumberFormat="1" applyFont="1" applyFill="1" applyBorder="1" applyAlignment="1">
      <alignment horizontal="left"/>
    </xf>
    <xf numFmtId="173" fontId="6" fillId="9" borderId="0" xfId="0" applyNumberFormat="1" applyFont="1" applyFill="1" applyAlignment="1">
      <alignment horizontal="left"/>
    </xf>
    <xf numFmtId="173" fontId="6" fillId="9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" fontId="7" fillId="5" borderId="0" xfId="0" applyNumberFormat="1" applyFont="1" applyFill="1"/>
    <xf numFmtId="169" fontId="18" fillId="5" borderId="0" xfId="0" applyNumberFormat="1" applyFont="1" applyFill="1" applyAlignment="1">
      <alignment horizontal="center" vertical="center"/>
    </xf>
    <xf numFmtId="172" fontId="7" fillId="4" borderId="0" xfId="0" applyNumberFormat="1" applyFont="1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right" vertical="center"/>
    </xf>
    <xf numFmtId="0" fontId="17" fillId="4" borderId="0" xfId="0" applyFont="1" applyFill="1"/>
    <xf numFmtId="0" fontId="22" fillId="0" borderId="0" xfId="0" applyFont="1" applyAlignment="1">
      <alignment vertical="top" wrapText="1"/>
    </xf>
    <xf numFmtId="0" fontId="23" fillId="0" borderId="0" xfId="0" quotePrefix="1" applyFont="1" applyAlignment="1">
      <alignment horizontal="right"/>
    </xf>
    <xf numFmtId="0" fontId="24" fillId="0" borderId="0" xfId="0" applyFont="1" applyAlignment="1">
      <alignment horizontal="left"/>
    </xf>
    <xf numFmtId="0" fontId="22" fillId="0" borderId="0" xfId="0" applyFont="1"/>
    <xf numFmtId="0" fontId="25" fillId="0" borderId="0" xfId="0" applyFont="1"/>
    <xf numFmtId="170" fontId="7" fillId="0" borderId="0" xfId="0" applyNumberFormat="1" applyFont="1"/>
    <xf numFmtId="4" fontId="25" fillId="0" borderId="0" xfId="0" applyNumberFormat="1" applyFont="1"/>
    <xf numFmtId="0" fontId="26" fillId="0" borderId="0" xfId="0" applyFont="1"/>
    <xf numFmtId="0" fontId="27" fillId="0" borderId="0" xfId="0" applyFont="1" applyAlignment="1">
      <alignment vertical="center"/>
    </xf>
    <xf numFmtId="0" fontId="29" fillId="0" borderId="0" xfId="0" applyFont="1"/>
    <xf numFmtId="0" fontId="30" fillId="0" borderId="0" xfId="0" applyFont="1" applyAlignment="1">
      <alignment vertical="center"/>
    </xf>
    <xf numFmtId="10" fontId="7" fillId="0" borderId="0" xfId="0" applyNumberFormat="1" applyFont="1"/>
    <xf numFmtId="0" fontId="31" fillId="0" borderId="0" xfId="0" applyFont="1"/>
    <xf numFmtId="0" fontId="31" fillId="0" borderId="0" xfId="0" applyFont="1" applyAlignment="1">
      <alignment horizontal="right"/>
    </xf>
    <xf numFmtId="170" fontId="31" fillId="0" borderId="0" xfId="0" applyNumberFormat="1" applyFont="1"/>
    <xf numFmtId="0" fontId="24" fillId="4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24" fillId="0" borderId="8" xfId="0" applyFont="1" applyBorder="1"/>
    <xf numFmtId="170" fontId="16" fillId="0" borderId="9" xfId="0" applyNumberFormat="1" applyFont="1" applyBorder="1"/>
    <xf numFmtId="14" fontId="32" fillId="0" borderId="9" xfId="0" applyNumberFormat="1" applyFont="1" applyBorder="1"/>
    <xf numFmtId="170" fontId="7" fillId="0" borderId="9" xfId="0" applyNumberFormat="1" applyFont="1" applyBorder="1"/>
    <xf numFmtId="170" fontId="7" fillId="4" borderId="10" xfId="0" applyNumberFormat="1" applyFont="1" applyFill="1" applyBorder="1"/>
    <xf numFmtId="170" fontId="16" fillId="0" borderId="0" xfId="0" applyNumberFormat="1" applyFont="1"/>
    <xf numFmtId="14" fontId="32" fillId="0" borderId="0" xfId="0" applyNumberFormat="1" applyFont="1"/>
    <xf numFmtId="14" fontId="33" fillId="0" borderId="0" xfId="0" applyNumberFormat="1" applyFont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0" fontId="24" fillId="0" borderId="13" xfId="0" applyFont="1" applyBorder="1"/>
    <xf numFmtId="170" fontId="16" fillId="0" borderId="14" xfId="0" applyNumberFormat="1" applyFont="1" applyBorder="1"/>
    <xf numFmtId="14" fontId="32" fillId="0" borderId="14" xfId="0" applyNumberFormat="1" applyFont="1" applyBorder="1"/>
    <xf numFmtId="170" fontId="7" fillId="0" borderId="14" xfId="0" applyNumberFormat="1" applyFont="1" applyBorder="1"/>
    <xf numFmtId="170" fontId="7" fillId="4" borderId="15" xfId="0" applyNumberFormat="1" applyFont="1" applyFill="1" applyBorder="1"/>
    <xf numFmtId="14" fontId="0" fillId="0" borderId="3" xfId="0" applyNumberFormat="1" applyBorder="1" applyAlignment="1">
      <alignment horizontal="right" vertical="center"/>
    </xf>
    <xf numFmtId="0" fontId="24" fillId="0" borderId="18" xfId="0" applyFont="1" applyBorder="1"/>
    <xf numFmtId="170" fontId="16" fillId="0" borderId="19" xfId="0" applyNumberFormat="1" applyFont="1" applyBorder="1"/>
    <xf numFmtId="14" fontId="32" fillId="0" borderId="19" xfId="0" applyNumberFormat="1" applyFont="1" applyBorder="1"/>
    <xf numFmtId="170" fontId="7" fillId="0" borderId="19" xfId="0" applyNumberFormat="1" applyFont="1" applyBorder="1"/>
    <xf numFmtId="170" fontId="7" fillId="4" borderId="20" xfId="0" applyNumberFormat="1" applyFont="1" applyFill="1" applyBorder="1"/>
    <xf numFmtId="14" fontId="0" fillId="0" borderId="0" xfId="0" applyNumberFormat="1"/>
    <xf numFmtId="14" fontId="0" fillId="0" borderId="0" xfId="0" applyNumberFormat="1" applyAlignment="1">
      <alignment horizontal="center"/>
    </xf>
    <xf numFmtId="170" fontId="35" fillId="0" borderId="0" xfId="0" applyNumberFormat="1" applyFont="1"/>
    <xf numFmtId="170" fontId="36" fillId="0" borderId="0" xfId="0" applyNumberFormat="1" applyFont="1"/>
    <xf numFmtId="170" fontId="7" fillId="2" borderId="0" xfId="0" applyNumberFormat="1" applyFont="1" applyFill="1"/>
    <xf numFmtId="170" fontId="34" fillId="0" borderId="0" xfId="0" applyNumberFormat="1" applyFont="1"/>
    <xf numFmtId="49" fontId="37" fillId="0" borderId="0" xfId="0" applyNumberFormat="1" applyFont="1" applyAlignment="1">
      <alignment horizontal="center"/>
    </xf>
    <xf numFmtId="0" fontId="2" fillId="0" borderId="21" xfId="2" applyFont="1" applyBorder="1"/>
    <xf numFmtId="0" fontId="2" fillId="0" borderId="5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5" xfId="2" applyFont="1" applyBorder="1"/>
    <xf numFmtId="0" fontId="38" fillId="0" borderId="4" xfId="2" applyFont="1" applyBorder="1" applyAlignment="1">
      <alignment horizontal="center" vertical="center"/>
    </xf>
    <xf numFmtId="0" fontId="38" fillId="4" borderId="4" xfId="2" applyFont="1" applyFill="1" applyBorder="1" applyAlignment="1">
      <alignment horizontal="center" vertical="center"/>
    </xf>
    <xf numFmtId="0" fontId="2" fillId="0" borderId="22" xfId="2" applyFont="1" applyBorder="1"/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2" fillId="0" borderId="23" xfId="2" applyFont="1" applyBorder="1" applyAlignment="1">
      <alignment horizontal="center"/>
    </xf>
    <xf numFmtId="0" fontId="38" fillId="0" borderId="5" xfId="2" applyFont="1" applyBorder="1" applyAlignment="1">
      <alignment horizontal="center" vertical="top"/>
    </xf>
    <xf numFmtId="0" fontId="2" fillId="4" borderId="5" xfId="2" applyFont="1" applyFill="1" applyBorder="1" applyAlignment="1">
      <alignment horizontal="center" vertical="center"/>
    </xf>
    <xf numFmtId="0" fontId="2" fillId="13" borderId="5" xfId="2" applyFont="1" applyFill="1" applyBorder="1" applyAlignment="1">
      <alignment horizontal="center"/>
    </xf>
    <xf numFmtId="14" fontId="25" fillId="0" borderId="5" xfId="2" applyNumberFormat="1" applyFont="1" applyBorder="1"/>
    <xf numFmtId="0" fontId="2" fillId="14" borderId="5" xfId="2" applyFont="1" applyFill="1" applyBorder="1"/>
    <xf numFmtId="0" fontId="2" fillId="14" borderId="5" xfId="2" applyFont="1" applyFill="1" applyBorder="1" applyAlignment="1">
      <alignment horizontal="center"/>
    </xf>
    <xf numFmtId="0" fontId="2" fillId="14" borderId="4" xfId="2" applyFont="1" applyFill="1" applyBorder="1" applyAlignment="1">
      <alignment horizontal="center"/>
    </xf>
    <xf numFmtId="0" fontId="38" fillId="14" borderId="4" xfId="2" applyFont="1" applyFill="1" applyBorder="1" applyAlignment="1">
      <alignment horizontal="center" vertical="center"/>
    </xf>
    <xf numFmtId="0" fontId="2" fillId="13" borderId="21" xfId="2" applyFont="1" applyFill="1" applyBorder="1" applyAlignment="1">
      <alignment horizontal="center"/>
    </xf>
    <xf numFmtId="0" fontId="2" fillId="15" borderId="5" xfId="2" applyFont="1" applyFill="1" applyBorder="1"/>
    <xf numFmtId="0" fontId="2" fillId="15" borderId="5" xfId="2" applyFont="1" applyFill="1" applyBorder="1" applyAlignment="1">
      <alignment horizontal="center"/>
    </xf>
    <xf numFmtId="0" fontId="2" fillId="15" borderId="4" xfId="2" applyFont="1" applyFill="1" applyBorder="1" applyAlignment="1">
      <alignment horizontal="center"/>
    </xf>
    <xf numFmtId="0" fontId="2" fillId="15" borderId="25" xfId="2" applyFont="1" applyFill="1" applyBorder="1" applyAlignment="1">
      <alignment horizontal="center"/>
    </xf>
    <xf numFmtId="0" fontId="39" fillId="15" borderId="5" xfId="2" applyFont="1" applyFill="1" applyBorder="1" applyAlignment="1">
      <alignment horizontal="center"/>
    </xf>
    <xf numFmtId="0" fontId="2" fillId="13" borderId="25" xfId="2" applyFont="1" applyFill="1" applyBorder="1" applyAlignment="1">
      <alignment horizontal="center"/>
    </xf>
    <xf numFmtId="0" fontId="2" fillId="0" borderId="23" xfId="2" applyFont="1" applyBorder="1"/>
    <xf numFmtId="0" fontId="38" fillId="16" borderId="4" xfId="2" applyFont="1" applyFill="1" applyBorder="1" applyAlignment="1">
      <alignment horizontal="center" vertical="center"/>
    </xf>
    <xf numFmtId="0" fontId="2" fillId="8" borderId="5" xfId="2" applyFont="1" applyFill="1" applyBorder="1" applyAlignment="1">
      <alignment horizontal="center"/>
    </xf>
    <xf numFmtId="0" fontId="2" fillId="4" borderId="5" xfId="2" applyFont="1" applyFill="1" applyBorder="1" applyAlignment="1">
      <alignment horizontal="center"/>
    </xf>
    <xf numFmtId="0" fontId="2" fillId="14" borderId="23" xfId="2" applyFont="1" applyFill="1" applyBorder="1" applyAlignment="1">
      <alignment horizontal="center"/>
    </xf>
    <xf numFmtId="0" fontId="2" fillId="16" borderId="5" xfId="2" applyFont="1" applyFill="1" applyBorder="1" applyAlignment="1">
      <alignment horizontal="center"/>
    </xf>
    <xf numFmtId="16" fontId="2" fillId="0" borderId="0" xfId="2" applyNumberFormat="1" applyFont="1"/>
    <xf numFmtId="0" fontId="2" fillId="14" borderId="21" xfId="2" applyFont="1" applyFill="1" applyBorder="1" applyAlignment="1">
      <alignment horizontal="center"/>
    </xf>
    <xf numFmtId="0" fontId="2" fillId="15" borderId="3" xfId="2" applyFont="1" applyFill="1" applyBorder="1" applyAlignment="1">
      <alignment horizontal="center"/>
    </xf>
    <xf numFmtId="0" fontId="39" fillId="15" borderId="2" xfId="2" applyFont="1" applyFill="1" applyBorder="1" applyAlignment="1">
      <alignment horizontal="center"/>
    </xf>
    <xf numFmtId="8" fontId="2" fillId="0" borderId="0" xfId="2" applyNumberFormat="1" applyFont="1"/>
    <xf numFmtId="0" fontId="2" fillId="0" borderId="0" xfId="2" applyFont="1" applyAlignment="1">
      <alignment vertical="center" textRotation="90"/>
    </xf>
    <xf numFmtId="0" fontId="4" fillId="0" borderId="0" xfId="2" applyFont="1" applyAlignment="1">
      <alignment horizontal="center"/>
    </xf>
    <xf numFmtId="0" fontId="39" fillId="0" borderId="0" xfId="2" applyFont="1"/>
    <xf numFmtId="0" fontId="2" fillId="0" borderId="0" xfId="2" applyFont="1" applyAlignment="1">
      <alignment horizontal="right"/>
    </xf>
    <xf numFmtId="0" fontId="40" fillId="0" borderId="5" xfId="2" applyFont="1" applyBorder="1" applyAlignment="1">
      <alignment vertical="center"/>
    </xf>
    <xf numFmtId="0" fontId="3" fillId="0" borderId="0" xfId="2" applyFont="1"/>
    <xf numFmtId="0" fontId="41" fillId="0" borderId="0" xfId="2" applyFont="1" applyAlignment="1">
      <alignment horizontal="center" vertical="center"/>
    </xf>
    <xf numFmtId="0" fontId="6" fillId="0" borderId="0" xfId="2" applyFont="1"/>
    <xf numFmtId="0" fontId="41" fillId="0" borderId="5" xfId="2" applyFont="1" applyBorder="1" applyAlignment="1">
      <alignment horizontal="center" vertical="center"/>
    </xf>
    <xf numFmtId="1" fontId="6" fillId="0" borderId="5" xfId="2" applyNumberFormat="1" applyFont="1" applyBorder="1"/>
    <xf numFmtId="0" fontId="6" fillId="0" borderId="5" xfId="2" applyFont="1" applyBorder="1"/>
    <xf numFmtId="0" fontId="41" fillId="17" borderId="5" xfId="2" applyFont="1" applyFill="1" applyBorder="1" applyAlignment="1">
      <alignment horizontal="center" vertical="center"/>
    </xf>
    <xf numFmtId="0" fontId="6" fillId="17" borderId="5" xfId="2" applyFont="1" applyFill="1" applyBorder="1"/>
    <xf numFmtId="0" fontId="2" fillId="18" borderId="0" xfId="2" applyFont="1" applyFill="1"/>
    <xf numFmtId="0" fontId="41" fillId="18" borderId="5" xfId="2" applyFont="1" applyFill="1" applyBorder="1" applyAlignment="1">
      <alignment horizontal="center" vertical="center"/>
    </xf>
    <xf numFmtId="1" fontId="6" fillId="18" borderId="5" xfId="2" applyNumberFormat="1" applyFont="1" applyFill="1" applyBorder="1"/>
    <xf numFmtId="14" fontId="2" fillId="0" borderId="0" xfId="2" applyNumberFormat="1" applyFont="1"/>
    <xf numFmtId="0" fontId="7" fillId="0" borderId="0" xfId="0" applyFont="1" applyAlignment="1">
      <alignment vertical="center"/>
    </xf>
    <xf numFmtId="0" fontId="7" fillId="19" borderId="0" xfId="0" applyFont="1" applyFill="1"/>
    <xf numFmtId="0" fontId="7" fillId="20" borderId="0" xfId="0" applyFont="1" applyFill="1"/>
    <xf numFmtId="174" fontId="7" fillId="0" borderId="0" xfId="3" applyNumberFormat="1" applyFont="1"/>
    <xf numFmtId="1" fontId="7" fillId="0" borderId="0" xfId="0" applyNumberFormat="1" applyFont="1"/>
    <xf numFmtId="0" fontId="7" fillId="21" borderId="0" xfId="0" applyFont="1" applyFill="1"/>
    <xf numFmtId="0" fontId="7" fillId="18" borderId="0" xfId="0" applyFont="1" applyFill="1"/>
    <xf numFmtId="49" fontId="7" fillId="0" borderId="0" xfId="0" applyNumberFormat="1" applyFont="1"/>
    <xf numFmtId="175" fontId="7" fillId="0" borderId="0" xfId="0" applyNumberFormat="1" applyFont="1"/>
    <xf numFmtId="1" fontId="43" fillId="0" borderId="0" xfId="0" applyNumberFormat="1" applyFont="1"/>
    <xf numFmtId="3" fontId="7" fillId="0" borderId="0" xfId="0" applyNumberFormat="1" applyFont="1"/>
    <xf numFmtId="0" fontId="43" fillId="21" borderId="0" xfId="0" applyFont="1" applyFill="1"/>
    <xf numFmtId="174" fontId="43" fillId="21" borderId="0" xfId="3" applyNumberFormat="1" applyFont="1" applyFill="1"/>
    <xf numFmtId="1" fontId="43" fillId="21" borderId="0" xfId="0" applyNumberFormat="1" applyFont="1" applyFill="1"/>
    <xf numFmtId="175" fontId="43" fillId="21" borderId="0" xfId="0" applyNumberFormat="1" applyFont="1" applyFill="1"/>
    <xf numFmtId="175" fontId="44" fillId="0" borderId="0" xfId="0" applyNumberFormat="1" applyFont="1"/>
    <xf numFmtId="0" fontId="7" fillId="18" borderId="0" xfId="0" applyFont="1" applyFill="1" applyAlignment="1">
      <alignment horizontal="center"/>
    </xf>
    <xf numFmtId="0" fontId="0" fillId="0" borderId="0" xfId="0" applyAlignment="1">
      <alignment horizontal="justify" vertical="top" wrapText="1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justify" vertical="center" wrapText="1"/>
    </xf>
    <xf numFmtId="1" fontId="6" fillId="0" borderId="0" xfId="0" applyNumberFormat="1" applyFont="1" applyAlignment="1" applyProtection="1">
      <alignment horizontal="center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14" fontId="6" fillId="0" borderId="0" xfId="0" applyNumberFormat="1" applyFont="1" applyAlignment="1">
      <alignment horizontal="center"/>
    </xf>
    <xf numFmtId="168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69" fontId="6" fillId="0" borderId="0" xfId="0" applyNumberFormat="1" applyFont="1" applyAlignment="1" applyProtection="1">
      <alignment horizontal="center"/>
      <protection locked="0"/>
    </xf>
    <xf numFmtId="169" fontId="6" fillId="0" borderId="0" xfId="0" applyNumberFormat="1" applyFont="1" applyAlignment="1">
      <alignment horizontal="center"/>
    </xf>
    <xf numFmtId="164" fontId="21" fillId="0" borderId="0" xfId="0" applyNumberFormat="1" applyFont="1" applyAlignment="1" applyProtection="1">
      <alignment horizontal="center" wrapText="1"/>
      <protection hidden="1"/>
    </xf>
    <xf numFmtId="173" fontId="3" fillId="9" borderId="2" xfId="0" applyNumberFormat="1" applyFont="1" applyFill="1" applyBorder="1" applyAlignment="1" applyProtection="1">
      <alignment horizontal="right"/>
      <protection locked="0"/>
    </xf>
    <xf numFmtId="173" fontId="3" fillId="9" borderId="3" xfId="0" applyNumberFormat="1" applyFont="1" applyFill="1" applyBorder="1" applyAlignment="1" applyProtection="1">
      <alignment horizontal="right"/>
      <protection locked="0"/>
    </xf>
    <xf numFmtId="0" fontId="0" fillId="10" borderId="0" xfId="0" applyFill="1" applyAlignment="1">
      <alignment horizontal="justify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12" borderId="11" xfId="0" applyNumberFormat="1" applyFill="1" applyBorder="1" applyAlignment="1">
      <alignment horizontal="center"/>
    </xf>
    <xf numFmtId="170" fontId="0" fillId="12" borderId="12" xfId="0" applyNumberFormat="1" applyFill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11" borderId="3" xfId="0" applyFont="1" applyFill="1" applyBorder="1" applyAlignment="1">
      <alignment horizontal="center" vertical="center"/>
    </xf>
    <xf numFmtId="0" fontId="30" fillId="11" borderId="4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0" fontId="0" fillId="12" borderId="6" xfId="0" applyNumberFormat="1" applyFill="1" applyBorder="1" applyAlignment="1">
      <alignment horizontal="center"/>
    </xf>
    <xf numFmtId="170" fontId="0" fillId="12" borderId="7" xfId="0" applyNumberFormat="1" applyFill="1" applyBorder="1" applyAlignment="1">
      <alignment horizontal="center"/>
    </xf>
    <xf numFmtId="170" fontId="34" fillId="0" borderId="0" xfId="0" applyNumberFormat="1" applyFont="1" applyAlignment="1">
      <alignment horizontal="center"/>
    </xf>
    <xf numFmtId="170" fontId="0" fillId="12" borderId="16" xfId="0" applyNumberFormat="1" applyFill="1" applyBorder="1" applyAlignment="1">
      <alignment horizontal="center"/>
    </xf>
    <xf numFmtId="170" fontId="0" fillId="12" borderId="17" xfId="0" applyNumberFormat="1" applyFill="1" applyBorder="1" applyAlignment="1">
      <alignment horizontal="center"/>
    </xf>
    <xf numFmtId="0" fontId="2" fillId="4" borderId="5" xfId="2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 textRotation="90" wrapText="1"/>
    </xf>
    <xf numFmtId="0" fontId="2" fillId="8" borderId="21" xfId="2" applyFont="1" applyFill="1" applyBorder="1" applyAlignment="1">
      <alignment horizontal="center" vertical="center" textRotation="90" wrapText="1"/>
    </xf>
    <xf numFmtId="0" fontId="2" fillId="8" borderId="24" xfId="2" applyFont="1" applyFill="1" applyBorder="1" applyAlignment="1">
      <alignment horizontal="center" vertical="center" textRotation="90" wrapText="1"/>
    </xf>
    <xf numFmtId="0" fontId="2" fillId="8" borderId="23" xfId="2" applyFont="1" applyFill="1" applyBorder="1" applyAlignment="1">
      <alignment horizontal="center" vertical="center" textRotation="90" wrapText="1"/>
    </xf>
    <xf numFmtId="0" fontId="7" fillId="8" borderId="21" xfId="2" applyFont="1" applyFill="1" applyBorder="1" applyAlignment="1">
      <alignment horizontal="center" vertical="center" textRotation="90"/>
    </xf>
    <xf numFmtId="0" fontId="7" fillId="8" borderId="24" xfId="2" applyFont="1" applyFill="1" applyBorder="1" applyAlignment="1">
      <alignment horizontal="center" vertical="center" textRotation="90"/>
    </xf>
    <xf numFmtId="0" fontId="7" fillId="8" borderId="23" xfId="2" applyFont="1" applyFill="1" applyBorder="1" applyAlignment="1">
      <alignment horizontal="center" vertical="center" textRotation="90"/>
    </xf>
    <xf numFmtId="0" fontId="1" fillId="8" borderId="21" xfId="2" applyFont="1" applyFill="1" applyBorder="1" applyAlignment="1">
      <alignment horizontal="center" vertical="center" textRotation="90" wrapText="1"/>
    </xf>
    <xf numFmtId="0" fontId="1" fillId="8" borderId="24" xfId="2" applyFont="1" applyFill="1" applyBorder="1" applyAlignment="1">
      <alignment horizontal="center" vertical="center" textRotation="90" wrapText="1"/>
    </xf>
    <xf numFmtId="0" fontId="1" fillId="8" borderId="23" xfId="2" applyFont="1" applyFill="1" applyBorder="1" applyAlignment="1">
      <alignment horizontal="center" vertical="center" textRotation="90" wrapText="1"/>
    </xf>
    <xf numFmtId="0" fontId="38" fillId="0" borderId="5" xfId="2" applyFont="1" applyBorder="1" applyAlignment="1">
      <alignment horizontal="center" vertical="center"/>
    </xf>
    <xf numFmtId="0" fontId="38" fillId="16" borderId="21" xfId="2" applyFont="1" applyFill="1" applyBorder="1" applyAlignment="1">
      <alignment horizontal="center" vertical="center"/>
    </xf>
    <xf numFmtId="0" fontId="38" fillId="16" borderId="23" xfId="2" applyFont="1" applyFill="1" applyBorder="1" applyAlignment="1">
      <alignment horizontal="center" vertical="center"/>
    </xf>
  </cellXfs>
  <cellStyles count="4">
    <cellStyle name="Hiperłącze" xfId="1" builtinId="8"/>
    <cellStyle name="Normalny" xfId="0" builtinId="0"/>
    <cellStyle name="Normalny 2" xfId="3" xr:uid="{6F20D14A-18FC-458F-977B-835A2579B48F}"/>
    <cellStyle name="Normalny 2 3 4" xfId="2" xr:uid="{77413AB3-9C50-4267-8F81-21FA35D663D5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rgb="FFFF99FF"/>
          </stop>
          <stop position="1">
            <color rgb="FFAEFA26"/>
          </stop>
        </gradientFill>
      </fill>
    </dxf>
    <dxf>
      <fill>
        <gradientFill degree="270">
          <stop position="0">
            <color theme="0"/>
          </stop>
          <stop position="1">
            <color rgb="FF90F12F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image" Target="../media/image21.png"/><Relationship Id="rId7" Type="http://schemas.openxmlformats.org/officeDocument/2006/relationships/customXml" Target="../ink/ink5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200.png"/><Relationship Id="rId5" Type="http://schemas.openxmlformats.org/officeDocument/2006/relationships/customXml" Target="../ink/ink3.xml"/><Relationship Id="rId4" Type="http://schemas.openxmlformats.org/officeDocument/2006/relationships/customXml" Target="../ink/ink2.xml"/><Relationship Id="rId9" Type="http://schemas.openxmlformats.org/officeDocument/2006/relationships/customXml" Target="../ink/ink7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14056</xdr:colOff>
      <xdr:row>60</xdr:row>
      <xdr:rowOff>183000</xdr:rowOff>
    </xdr:from>
    <xdr:to>
      <xdr:col>6</xdr:col>
      <xdr:colOff>14416</xdr:colOff>
      <xdr:row>61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Pismo odręczne 1">
              <a:extLst>
                <a:ext uri="{FF2B5EF4-FFF2-40B4-BE49-F238E27FC236}">
                  <a16:creationId xmlns:a16="http://schemas.microsoft.com/office/drawing/2014/main" id="{5E6D2030-AC06-4B2C-838D-D3E3C78824EE}"/>
                </a:ext>
              </a:extLst>
            </xdr14:cNvPr>
            <xdr14:cNvContentPartPr/>
          </xdr14:nvContentPartPr>
          <xdr14:nvPr macro=""/>
          <xdr14:xfrm>
            <a:off x="1414231" y="12565500"/>
            <a:ext cx="360" cy="360"/>
          </xdr14:xfrm>
        </xdr:contentPart>
      </mc:Choice>
      <mc:Fallback xmlns="">
        <xdr:pic>
          <xdr:nvPicPr>
            <xdr:cNvPr id="6" name="Pismo odręczne 5">
              <a:extLst>
                <a:ext uri="{FF2B5EF4-FFF2-40B4-BE49-F238E27FC236}">
                  <a16:creationId xmlns:a16="http://schemas.microsoft.com/office/drawing/2014/main" id="{D92B5722-FC92-4567-8206-BB06B75790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77320" y="1198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87840</xdr:colOff>
      <xdr:row>46</xdr:row>
      <xdr:rowOff>0</xdr:rowOff>
    </xdr:from>
    <xdr:to>
      <xdr:col>0</xdr:col>
      <xdr:colOff>88200</xdr:colOff>
      <xdr:row>46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Pismo odręczne 2">
              <a:extLst>
                <a:ext uri="{FF2B5EF4-FFF2-40B4-BE49-F238E27FC236}">
                  <a16:creationId xmlns:a16="http://schemas.microsoft.com/office/drawing/2014/main" id="{8400A2C1-FD45-46B3-BDC5-1641094E2D78}"/>
                </a:ext>
              </a:extLst>
            </xdr14:cNvPr>
            <xdr14:cNvContentPartPr/>
          </xdr14:nvContentPartPr>
          <xdr14:nvPr macro=""/>
          <xdr14:xfrm>
            <a:off x="87840" y="9231600"/>
            <a:ext cx="360" cy="360"/>
          </xdr14:xfrm>
        </xdr:contentPart>
      </mc:Choice>
      <mc:Fallback xmlns="">
        <xdr:pic>
          <xdr:nvPicPr>
            <xdr:cNvPr id="17" name="Pismo odręczne 16">
              <a:extLst>
                <a:ext uri="{FF2B5EF4-FFF2-40B4-BE49-F238E27FC236}">
                  <a16:creationId xmlns:a16="http://schemas.microsoft.com/office/drawing/2014/main" id="{1CC3D993-AD90-4727-BE1D-F7AF7B2B3AE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8840" y="9032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43560</xdr:colOff>
      <xdr:row>46</xdr:row>
      <xdr:rowOff>0</xdr:rowOff>
    </xdr:from>
    <xdr:to>
      <xdr:col>0</xdr:col>
      <xdr:colOff>43920</xdr:colOff>
      <xdr:row>46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Pismo odręczne 3">
              <a:extLst>
                <a:ext uri="{FF2B5EF4-FFF2-40B4-BE49-F238E27FC236}">
                  <a16:creationId xmlns:a16="http://schemas.microsoft.com/office/drawing/2014/main" id="{FC70C6DC-58D5-4B0B-B62E-2D41EBEC8953}"/>
                </a:ext>
              </a:extLst>
            </xdr14:cNvPr>
            <xdr14:cNvContentPartPr/>
          </xdr14:nvContentPartPr>
          <xdr14:nvPr macro=""/>
          <xdr14:xfrm>
            <a:off x="43560" y="9290280"/>
            <a:ext cx="360" cy="360"/>
          </xdr14:xfrm>
        </xdr:contentPart>
      </mc:Choice>
      <mc:Fallback xmlns="">
        <xdr:pic>
          <xdr:nvPicPr>
            <xdr:cNvPr id="18" name="Pismo odręczne 17">
              <a:extLst>
                <a:ext uri="{FF2B5EF4-FFF2-40B4-BE49-F238E27FC236}">
                  <a16:creationId xmlns:a16="http://schemas.microsoft.com/office/drawing/2014/main" id="{F77A110E-CAF9-4D43-BDE0-CF8468B6651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920" y="90907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51067</xdr:colOff>
      <xdr:row>38</xdr:row>
      <xdr:rowOff>146340</xdr:rowOff>
    </xdr:from>
    <xdr:to>
      <xdr:col>4</xdr:col>
      <xdr:colOff>51427</xdr:colOff>
      <xdr:row>38</xdr:row>
      <xdr:rowOff>146700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Pismo odręczne 4">
              <a:extLst>
                <a:ext uri="{FF2B5EF4-FFF2-40B4-BE49-F238E27FC236}">
                  <a16:creationId xmlns:a16="http://schemas.microsoft.com/office/drawing/2014/main" id="{FA6C19C1-BBAE-4CF4-B031-E6D3E0E2E173}"/>
                </a:ext>
              </a:extLst>
            </xdr14:cNvPr>
            <xdr14:cNvContentPartPr/>
          </xdr14:nvContentPartPr>
          <xdr14:nvPr macro=""/>
          <xdr14:xfrm>
            <a:off x="1146442" y="9099840"/>
            <a:ext cx="360" cy="360"/>
          </xdr14:xfrm>
        </xdr:contentPart>
      </mc:Choice>
      <mc:Fallback xmlns="">
        <xdr:pic>
          <xdr:nvPicPr>
            <xdr:cNvPr id="19" name="Pismo odręczne 18">
              <a:extLst>
                <a:ext uri="{FF2B5EF4-FFF2-40B4-BE49-F238E27FC236}">
                  <a16:creationId xmlns:a16="http://schemas.microsoft.com/office/drawing/2014/main" id="{AB543D72-FDBE-42D7-AD92-AF6352DB52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6600" y="89003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0</xdr:colOff>
      <xdr:row>55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Pismo odręczne 5">
              <a:extLst>
                <a:ext uri="{FF2B5EF4-FFF2-40B4-BE49-F238E27FC236}">
                  <a16:creationId xmlns:a16="http://schemas.microsoft.com/office/drawing/2014/main" id="{32AA0355-127D-4396-AFFB-8DF8D7AF9F6A}"/>
                </a:ext>
              </a:extLst>
            </xdr14:cNvPr>
            <xdr14:cNvContentPartPr/>
          </xdr14:nvContentPartPr>
          <xdr14:nvPr macro=""/>
          <xdr14:xfrm>
            <a:off x="0" y="12001500"/>
            <a:ext cx="360" cy="360"/>
          </xdr14:xfrm>
        </xdr:contentPart>
      </mc:Choice>
      <mc:Fallback xmlns="">
        <xdr:pic>
          <xdr:nvPicPr>
            <xdr:cNvPr id="23" name="Pismo odręczne 22">
              <a:extLst>
                <a:ext uri="{FF2B5EF4-FFF2-40B4-BE49-F238E27FC236}">
                  <a16:creationId xmlns:a16="http://schemas.microsoft.com/office/drawing/2014/main" id="{EE09B851-1149-44AD-846A-92F04B4AA9C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8840" y="9032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Pismo odręczne 6">
              <a:extLst>
                <a:ext uri="{FF2B5EF4-FFF2-40B4-BE49-F238E27FC236}">
                  <a16:creationId xmlns:a16="http://schemas.microsoft.com/office/drawing/2014/main" id="{8F768F34-9B34-49B5-A71C-E8789AD6229D}"/>
                </a:ext>
              </a:extLst>
            </xdr14:cNvPr>
            <xdr14:cNvContentPartPr/>
          </xdr14:nvContentPartPr>
          <xdr14:nvPr macro=""/>
          <xdr14:xfrm>
            <a:off x="0" y="12001500"/>
            <a:ext cx="360" cy="360"/>
          </xdr14:xfrm>
        </xdr:contentPart>
      </mc:Choice>
      <mc:Fallback xmlns="">
        <xdr:pic>
          <xdr:nvPicPr>
            <xdr:cNvPr id="24" name="Pismo odręczne 23">
              <a:extLst>
                <a:ext uri="{FF2B5EF4-FFF2-40B4-BE49-F238E27FC236}">
                  <a16:creationId xmlns:a16="http://schemas.microsoft.com/office/drawing/2014/main" id="{2E3A5E10-EB04-4D43-997D-469D7A9AB25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920" y="90907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14056</xdr:colOff>
      <xdr:row>60</xdr:row>
      <xdr:rowOff>183000</xdr:rowOff>
    </xdr:from>
    <xdr:to>
      <xdr:col>6</xdr:col>
      <xdr:colOff>14416</xdr:colOff>
      <xdr:row>61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Pismo odręczne 7">
              <a:extLst>
                <a:ext uri="{FF2B5EF4-FFF2-40B4-BE49-F238E27FC236}">
                  <a16:creationId xmlns:a16="http://schemas.microsoft.com/office/drawing/2014/main" id="{B2489E19-C460-4B18-9E83-26E5D2076692}"/>
                </a:ext>
              </a:extLst>
            </xdr14:cNvPr>
            <xdr14:cNvContentPartPr/>
          </xdr14:nvContentPartPr>
          <xdr14:nvPr macro=""/>
          <xdr14:xfrm>
            <a:off x="1414231" y="12565500"/>
            <a:ext cx="360" cy="360"/>
          </xdr14:xfrm>
        </xdr:contentPart>
      </mc:Choice>
      <mc:Fallback xmlns="">
        <xdr:pic>
          <xdr:nvPicPr>
            <xdr:cNvPr id="6" name="Pismo odręczne 5">
              <a:extLst>
                <a:ext uri="{FF2B5EF4-FFF2-40B4-BE49-F238E27FC236}">
                  <a16:creationId xmlns:a16="http://schemas.microsoft.com/office/drawing/2014/main" id="{D92B5722-FC92-4567-8206-BB06B757906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77320" y="1198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__Wp&#322;aty/_Wp&#322;aty_2025-26.xlsx" TargetMode="External"/><Relationship Id="rId2" Type="http://schemas.openxmlformats.org/officeDocument/2006/relationships/externalLinkPath" Target="https://d.docs.live.net/b88e58517c1585e7/_GREGOR/__Wp&#322;aty/_Wp&#322;aty_2025-26.xlsx" TargetMode="External"/><Relationship Id="rId1" Type="http://schemas.openxmlformats.org/officeDocument/2006/relationships/externalLinkPath" Target="/b88e58517c1585e7/_GREGOR/__Wp&#322;aty/_Wp&#322;aty_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/2025_umowa.xlsm" TargetMode="External"/><Relationship Id="rId2" Type="http://schemas.openxmlformats.org/officeDocument/2006/relationships/externalLinkPath" Target="https://d.docs.live.net/B88E58517C1585E7/_GREGOR/_0UMOWY/KURSY/2025/2025_umowa.xlsm" TargetMode="External"/><Relationship Id="rId1" Type="http://schemas.openxmlformats.org/officeDocument/2006/relationships/externalLinkPath" Target="/B88E58517C1585E7/_GREGOR/_0UMOWY/KURSY/2025/2025_umowa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dodatek_expose_lab.xlam" TargetMode="External"/><Relationship Id="rId1" Type="http://schemas.microsoft.com/office/2006/relationships/xlExternalLinkPath/xlLibrary" Target="dodatek_expose_lab.xla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ANE%20DO%20UMOWY_2025.xlsx" TargetMode="External"/><Relationship Id="rId2" Type="http://schemas.openxmlformats.org/officeDocument/2006/relationships/externalLinkPath" Target="https://d.docs.live.net/B88E58517C1585E7/DANE%20DO%20UMOWY_2025.xlsx" TargetMode="External"/><Relationship Id="rId1" Type="http://schemas.openxmlformats.org/officeDocument/2006/relationships/externalLinkPath" Target="/B88E58517C1585E7/DANE%20DO%20UMOWY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lendarz_22-23_Ptaszki_Zakłady"/>
      <sheetName val="Kalendarz_22-23_Ptaszki"/>
      <sheetName val="Kalendarz_22-23"/>
      <sheetName val="G_Ind."/>
      <sheetName val="Nowi_NML"/>
      <sheetName val="Zestawienie (2)"/>
      <sheetName val="Hist"/>
      <sheetName val="W terminie"/>
      <sheetName val="Kalendarz_24-25"/>
      <sheetName val="Zwroty"/>
      <sheetName val="NML"/>
      <sheetName val="Nowi_IŁAWA"/>
      <sheetName val="IŁAWA_Niezdecydowani"/>
      <sheetName val="Oczekujący"/>
      <sheetName val="REZ._Bez wpłat"/>
      <sheetName val="IŁAWA (2)"/>
      <sheetName val="IŁAWA"/>
      <sheetName val="Wyp24"/>
      <sheetName val="Hist (2)"/>
      <sheetName val="Zestawienie"/>
      <sheetName val="US_22"/>
      <sheetName val="ZUS_2022"/>
      <sheetName val="GO_22"/>
      <sheetName val="GO_23"/>
      <sheetName val="Rozlicz"/>
      <sheetName val="Hist_23"/>
      <sheetName val="Plus_08"/>
      <sheetName val="Plus_09"/>
      <sheetName val="Plus_101"/>
      <sheetName val="Plus_10"/>
      <sheetName val="Plus_11"/>
      <sheetName val="Plus_12"/>
      <sheetName val="Plus_001"/>
      <sheetName val="Plus_111"/>
      <sheetName val="Plus_121"/>
      <sheetName val="Plus_01"/>
      <sheetName val="Plus_02"/>
      <sheetName val="Plus_03"/>
      <sheetName val="Plus_04"/>
      <sheetName val="Plus_05"/>
      <sheetName val="Plus_06"/>
      <sheetName val="Plus_23.07"/>
      <sheetName val="FF_22.09"/>
      <sheetName val="FF_22.10"/>
      <sheetName val="FF_23.10"/>
      <sheetName val="FF_23.11"/>
      <sheetName val="FF_23.12"/>
      <sheetName val="FF_22.12"/>
      <sheetName val="FF_23.01"/>
      <sheetName val="FF_23.02"/>
      <sheetName val="FF_23.03"/>
      <sheetName val="FF_23.04"/>
      <sheetName val="FF_23.05"/>
      <sheetName val="FF_23.06"/>
      <sheetName val="Odw. zajęcia"/>
      <sheetName val="Cennik plus zarobki lektorów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/>
          <cell r="H4"/>
          <cell r="N4"/>
        </row>
        <row r="5">
          <cell r="A5"/>
          <cell r="H5"/>
        </row>
        <row r="6">
          <cell r="A6">
            <v>46198</v>
          </cell>
          <cell r="H6"/>
          <cell r="N6">
            <v>0</v>
          </cell>
          <cell r="X6" t="str">
            <v>WRÓBEL MAŁGORZATA</v>
          </cell>
        </row>
        <row r="7">
          <cell r="A7">
            <v>46192</v>
          </cell>
          <cell r="H7" t="str">
            <v/>
          </cell>
          <cell r="N7">
            <v>0</v>
          </cell>
        </row>
        <row r="8">
          <cell r="A8">
            <v>46192</v>
          </cell>
          <cell r="H8" t="str">
            <v/>
          </cell>
          <cell r="N8">
            <v>0</v>
          </cell>
        </row>
        <row r="9">
          <cell r="A9">
            <v>46192</v>
          </cell>
          <cell r="H9" t="str">
            <v>WRÓBEL MAŁGORZATA</v>
          </cell>
          <cell r="N9">
            <v>213.33</v>
          </cell>
        </row>
        <row r="10">
          <cell r="A10">
            <v>46191</v>
          </cell>
          <cell r="H10" t="str">
            <v>TADEUSZ GRASZEK RYNEK 10 M 14</v>
          </cell>
          <cell r="N10">
            <v>19.899999999999999</v>
          </cell>
        </row>
        <row r="11">
          <cell r="A11">
            <v>46190</v>
          </cell>
          <cell r="H11" t="str">
            <v/>
          </cell>
          <cell r="N11">
            <v>0</v>
          </cell>
        </row>
        <row r="12">
          <cell r="A12">
            <v>46190</v>
          </cell>
          <cell r="H12" t="str">
            <v/>
          </cell>
          <cell r="N12">
            <v>0</v>
          </cell>
        </row>
        <row r="13">
          <cell r="A13">
            <v>46190</v>
          </cell>
          <cell r="H13" t="str">
            <v/>
          </cell>
          <cell r="N13">
            <v>0</v>
          </cell>
        </row>
        <row r="14">
          <cell r="A14">
            <v>46189</v>
          </cell>
          <cell r="H14" t="str">
            <v/>
          </cell>
          <cell r="N14">
            <v>0</v>
          </cell>
          <cell r="X14" t="str">
            <v>GABINET PSYCHOTERAPII UZALEŻNIEŃ I WSPÓŁUZALEŻNIENIA EWA KACPERSKA</v>
          </cell>
        </row>
        <row r="15">
          <cell r="A15">
            <v>46188</v>
          </cell>
          <cell r="H15" t="str">
            <v/>
          </cell>
          <cell r="N15">
            <v>0</v>
          </cell>
          <cell r="X15" t="str">
            <v xml:space="preserve">KOCHANOWSKA IWONA </v>
          </cell>
        </row>
        <row r="16">
          <cell r="A16">
            <v>46185</v>
          </cell>
          <cell r="H16" t="str">
            <v xml:space="preserve">LR HEALTH&amp;BEAUTY SYSTEMS SP. Z O O. </v>
          </cell>
          <cell r="N16">
            <v>1131.44</v>
          </cell>
          <cell r="X16" t="str">
            <v xml:space="preserve">WALDEMAR KLIMIK </v>
          </cell>
        </row>
        <row r="17">
          <cell r="A17">
            <v>46185</v>
          </cell>
          <cell r="H17" t="str">
            <v>AUTOPAY SPÓŁKA AKCYJNA UL. POWSTAŃC ÓW WARSZAWY 6 81-718 SOPOT PL</v>
          </cell>
          <cell r="N17">
            <v>398.88</v>
          </cell>
          <cell r="X17" t="str">
            <v>ANIMEX FOODS SP. Z O.O. CHALUBINSKIEGO 8</v>
          </cell>
        </row>
        <row r="18">
          <cell r="A18">
            <v>46185</v>
          </cell>
          <cell r="H18" t="str">
            <v/>
          </cell>
          <cell r="N18">
            <v>0</v>
          </cell>
          <cell r="X18" t="str">
            <v>JOANNA MAŁGORZATA WIĘCZKOWSKA WYSZYŃSKIEGO 37A M 40</v>
          </cell>
        </row>
        <row r="19">
          <cell r="A19">
            <v>46185</v>
          </cell>
          <cell r="H19" t="str">
            <v/>
          </cell>
          <cell r="N19">
            <v>0</v>
          </cell>
          <cell r="X19" t="str">
            <v>AGNIESZKA ANNA MAŁKIEWICZ WIELKI G ŁĘBOCZEK 4 87-313 WIELKI GŁĘBOCZEK</v>
          </cell>
        </row>
        <row r="20">
          <cell r="A20">
            <v>46185</v>
          </cell>
          <cell r="H20" t="str">
            <v/>
          </cell>
          <cell r="N20">
            <v>0</v>
          </cell>
          <cell r="X20" t="str">
            <v>Agnieszka Szymańska</v>
          </cell>
        </row>
        <row r="21">
          <cell r="A21">
            <v>46185</v>
          </cell>
          <cell r="H21" t="str">
            <v/>
          </cell>
          <cell r="N21">
            <v>0</v>
          </cell>
          <cell r="X21" t="str">
            <v xml:space="preserve">ŁUKASZEWSKA SYLWIA </v>
          </cell>
        </row>
        <row r="22">
          <cell r="A22">
            <v>46185</v>
          </cell>
          <cell r="H22" t="str">
            <v/>
          </cell>
          <cell r="N22">
            <v>0</v>
          </cell>
          <cell r="X22" t="str">
            <v xml:space="preserve">MAGDALENA BŁASZKOWSKA </v>
          </cell>
        </row>
        <row r="23">
          <cell r="A23">
            <v>46185</v>
          </cell>
          <cell r="H23" t="str">
            <v/>
          </cell>
          <cell r="N23">
            <v>0</v>
          </cell>
          <cell r="X23" t="str">
            <v xml:space="preserve">BAJOR MICHAŁ </v>
          </cell>
        </row>
        <row r="24">
          <cell r="A24">
            <v>46185</v>
          </cell>
          <cell r="H24" t="str">
            <v/>
          </cell>
          <cell r="N24">
            <v>0</v>
          </cell>
          <cell r="X24" t="str">
            <v xml:space="preserve">ANETA ELŻBIETA NAWORSKA </v>
          </cell>
        </row>
        <row r="25">
          <cell r="A25">
            <v>46184</v>
          </cell>
          <cell r="H25" t="str">
            <v>AUTOPAY SPÓŁKA AKCYJNA UL.POWSTAŃCÓW WARSZAWY 6</v>
          </cell>
          <cell r="N25">
            <v>362.98</v>
          </cell>
          <cell r="X25" t="str">
            <v>HANNA MARIA GAMALSKA</v>
          </cell>
        </row>
        <row r="26">
          <cell r="A26">
            <v>46183</v>
          </cell>
          <cell r="H26" t="str">
            <v xml:space="preserve">ŁUKASZ MARCIN TARCHANOW </v>
          </cell>
          <cell r="N26">
            <v>322.67</v>
          </cell>
          <cell r="X26" t="str">
            <v xml:space="preserve">TRZEBIATOWSKA-MACIEJKO EWA </v>
          </cell>
        </row>
        <row r="27">
          <cell r="A27">
            <v>46183</v>
          </cell>
          <cell r="H27" t="str">
            <v/>
          </cell>
          <cell r="N27">
            <v>0</v>
          </cell>
          <cell r="X27" t="str">
            <v>RAFAŁ JANUSZ MATUKIEWICZ GEN. WARAKSIEWICZA 9</v>
          </cell>
        </row>
        <row r="28">
          <cell r="A28">
            <v>46183</v>
          </cell>
          <cell r="H28" t="str">
            <v/>
          </cell>
          <cell r="N28">
            <v>0</v>
          </cell>
          <cell r="X28" t="str">
            <v>LUBIENIECKA M I LUBIENIECKI M UL. KOLOROWA 17</v>
          </cell>
        </row>
        <row r="29">
          <cell r="A29">
            <v>46183</v>
          </cell>
          <cell r="H29" t="str">
            <v/>
          </cell>
          <cell r="N29">
            <v>0</v>
          </cell>
          <cell r="X29" t="str">
            <v>BOJANOWSKA ANETA LASECZNO MAŁE 79</v>
          </cell>
        </row>
        <row r="30">
          <cell r="A30">
            <v>46183</v>
          </cell>
          <cell r="H30" t="str">
            <v/>
          </cell>
          <cell r="N30">
            <v>0</v>
          </cell>
          <cell r="X30" t="str">
            <v xml:space="preserve">MAGDALENA GETKA </v>
          </cell>
        </row>
        <row r="31">
          <cell r="A31">
            <v>46183</v>
          </cell>
          <cell r="H31" t="str">
            <v/>
          </cell>
          <cell r="N31">
            <v>0</v>
          </cell>
          <cell r="X31" t="str">
            <v>MARTA KUŹNIEWSKA KSIĘŻNEJ DOBRAWY 21 A</v>
          </cell>
        </row>
        <row r="32">
          <cell r="A32">
            <v>46183</v>
          </cell>
          <cell r="H32" t="str">
            <v/>
          </cell>
          <cell r="N32">
            <v>0</v>
          </cell>
          <cell r="X32" t="str">
            <v>MAREK KLIMIK PIASTOWSKA 6/38 6/38</v>
          </cell>
        </row>
        <row r="33">
          <cell r="A33">
            <v>46183</v>
          </cell>
          <cell r="H33" t="str">
            <v/>
          </cell>
          <cell r="N33">
            <v>0</v>
          </cell>
          <cell r="X33" t="str">
            <v xml:space="preserve">ANNA WARMIŃSKA </v>
          </cell>
        </row>
        <row r="34">
          <cell r="A34">
            <v>46183</v>
          </cell>
          <cell r="H34" t="str">
            <v/>
          </cell>
          <cell r="N34">
            <v>0</v>
          </cell>
          <cell r="X34" t="str">
            <v>EMILIA MARIA PIECUCH</v>
          </cell>
        </row>
        <row r="35">
          <cell r="A35">
            <v>46183</v>
          </cell>
          <cell r="H35" t="str">
            <v/>
          </cell>
          <cell r="N35">
            <v>0</v>
          </cell>
          <cell r="X35" t="str">
            <v xml:space="preserve">ŁUKASZ NOWAK </v>
          </cell>
        </row>
        <row r="36">
          <cell r="A36">
            <v>46181</v>
          </cell>
          <cell r="H36" t="str">
            <v xml:space="preserve">EWA ŁUCJA OSTROWSKA </v>
          </cell>
          <cell r="N36">
            <v>2408.4899999999998</v>
          </cell>
          <cell r="X36" t="str">
            <v>MONIKA SZEFLER OBROŃCÓW WESTERPLATTE 2/11</v>
          </cell>
        </row>
        <row r="37">
          <cell r="A37">
            <v>46181</v>
          </cell>
          <cell r="H37" t="str">
            <v/>
          </cell>
          <cell r="N37">
            <v>0</v>
          </cell>
          <cell r="X37" t="str">
            <v>ŁUKASZ NOWAK</v>
          </cell>
        </row>
        <row r="38">
          <cell r="A38">
            <v>46181</v>
          </cell>
          <cell r="H38" t="str">
            <v xml:space="preserve">TOMASZ TYC </v>
          </cell>
          <cell r="N38">
            <v>114.84</v>
          </cell>
          <cell r="X38" t="str">
            <v>ILONA TERESA PATURALSKA</v>
          </cell>
        </row>
        <row r="39">
          <cell r="A39">
            <v>46181</v>
          </cell>
          <cell r="H39" t="str">
            <v/>
          </cell>
          <cell r="N39">
            <v>0</v>
          </cell>
          <cell r="X39" t="str">
            <v>TOMASZ TYC</v>
          </cell>
        </row>
        <row r="40">
          <cell r="A40">
            <v>46178</v>
          </cell>
          <cell r="H40" t="str">
            <v>AUTOPAY SPÓŁKA AKCYJNA UL.POWSTAŃCÓW WARSZAWY 6</v>
          </cell>
          <cell r="N40">
            <v>230</v>
          </cell>
          <cell r="X40" t="str">
            <v>BAJOR MICHAŁ</v>
          </cell>
        </row>
        <row r="41">
          <cell r="A41">
            <v>46176</v>
          </cell>
          <cell r="H41" t="str">
            <v>GABINET PSYCHOTERAPII UZALEŻNIEŃ I WSPÓŁUZALEŻNIENIA EWA KACPERSKA</v>
          </cell>
          <cell r="N41">
            <v>191.91</v>
          </cell>
          <cell r="X41" t="str">
            <v>MARZENA SZYMAŃSKA SAMPŁAWA 40</v>
          </cell>
        </row>
        <row r="42">
          <cell r="A42">
            <v>46176</v>
          </cell>
          <cell r="H42" t="str">
            <v/>
          </cell>
          <cell r="N42">
            <v>0</v>
          </cell>
          <cell r="X42" t="str">
            <v>ANETA ELŻBIETA NAWORSKA</v>
          </cell>
        </row>
        <row r="43">
          <cell r="A43">
            <v>46176</v>
          </cell>
          <cell r="H43" t="str">
            <v xml:space="preserve">KOCHANOWSKA IWONA </v>
          </cell>
          <cell r="N43">
            <v>367.84</v>
          </cell>
          <cell r="X43" t="str">
            <v xml:space="preserve">BEATA MARIA KUHNWALD </v>
          </cell>
        </row>
        <row r="44">
          <cell r="A44">
            <v>46176</v>
          </cell>
          <cell r="H44" t="str">
            <v xml:space="preserve">WALDEMAR KLIMIK </v>
          </cell>
          <cell r="N44">
            <v>224.96</v>
          </cell>
          <cell r="X44" t="str">
            <v>ŁUKASZEWSKA SYLWIA</v>
          </cell>
        </row>
        <row r="45">
          <cell r="A45">
            <v>46176</v>
          </cell>
          <cell r="H45" t="str">
            <v xml:space="preserve">WALDEMAR KLIMIK </v>
          </cell>
          <cell r="N45">
            <v>220.4</v>
          </cell>
          <cell r="X45" t="str">
            <v>MONIKA A MARASZEK UL. NIEPODLEGŁOŚC I 4 82-550 PRABUTY MONIKA A MARASZE</v>
          </cell>
        </row>
        <row r="46">
          <cell r="A46">
            <v>46175</v>
          </cell>
          <cell r="H46" t="str">
            <v/>
          </cell>
          <cell r="N46">
            <v>0</v>
          </cell>
          <cell r="X46" t="str">
            <v>MAGDALENA BŁASZKOWSKA</v>
          </cell>
        </row>
        <row r="47">
          <cell r="A47">
            <v>46174</v>
          </cell>
          <cell r="H47" t="str">
            <v>AUTOPAY SPÓŁKA AKCYJNA UL.POWSTAŃCÓW WARSZAWY 6</v>
          </cell>
          <cell r="N47">
            <v>307.24</v>
          </cell>
          <cell r="X47" t="str">
            <v>BARTON POLSKA SPÓŁKA Z OGRANICZONĄ ODPOWIEDZIALNOŚCIĄ</v>
          </cell>
        </row>
        <row r="48">
          <cell r="A48">
            <v>46174</v>
          </cell>
          <cell r="H48" t="str">
            <v>ANIMEX FOODS SP. Z O.O. CHALUBINSKIEGO 8</v>
          </cell>
          <cell r="N48">
            <v>1072</v>
          </cell>
          <cell r="X48" t="str">
            <v>ŁUKASZ MARCIN TARCHANOW</v>
          </cell>
        </row>
        <row r="49">
          <cell r="A49">
            <v>46174</v>
          </cell>
          <cell r="H49" t="str">
            <v>AUTOPAY SPÓŁKA AKCYJNA UL.POWSTAŃCÓW WARSZAWY 6</v>
          </cell>
          <cell r="N49">
            <v>668</v>
          </cell>
          <cell r="X49" t="str">
            <v>PATRYCJA KAMILA MACIEJEWSKA</v>
          </cell>
        </row>
        <row r="50">
          <cell r="A50">
            <v>46171</v>
          </cell>
          <cell r="H50" t="str">
            <v/>
          </cell>
          <cell r="N50">
            <v>0</v>
          </cell>
          <cell r="X50" t="str">
            <v>AGNIESZKA ANNA MAŁKIEWICZ  WIELKI G ŁĘBOCZEK 4 87-313 WIELKI GŁĘBOCZEK</v>
          </cell>
        </row>
        <row r="51">
          <cell r="A51">
            <v>46171</v>
          </cell>
          <cell r="H51" t="str">
            <v/>
          </cell>
          <cell r="N51">
            <v>0</v>
          </cell>
          <cell r="X51" t="str">
            <v>TRZEBIATOWSKA-MACIEJKO EWA</v>
          </cell>
        </row>
        <row r="52">
          <cell r="A52">
            <v>46171</v>
          </cell>
          <cell r="H52" t="str">
            <v/>
          </cell>
          <cell r="N52">
            <v>0</v>
          </cell>
          <cell r="X52" t="str">
            <v>EMILY SZKOŁA JĘZYKÓW OBCYCH EMILIA KŁOSOWSKA</v>
          </cell>
        </row>
        <row r="53">
          <cell r="A53">
            <v>46171</v>
          </cell>
          <cell r="H53" t="str">
            <v/>
          </cell>
          <cell r="N53">
            <v>0</v>
          </cell>
          <cell r="X53" t="str">
            <v>MAŁKIEWICZ AGNIESZKA WIELKI GŁĘBOCZ EK 4 87-313 WIELKI GŁĘBOCZEK</v>
          </cell>
        </row>
        <row r="54">
          <cell r="A54">
            <v>46171</v>
          </cell>
          <cell r="H54" t="str">
            <v/>
          </cell>
          <cell r="N54">
            <v>0</v>
          </cell>
          <cell r="X54" t="str">
            <v>KINGA ZIELIŃSKA</v>
          </cell>
        </row>
        <row r="55">
          <cell r="A55">
            <v>46171</v>
          </cell>
          <cell r="H55" t="str">
            <v/>
          </cell>
          <cell r="N55">
            <v>0</v>
          </cell>
          <cell r="X55" t="str">
            <v>KOPERA MARTA KOPERA MARCIN</v>
          </cell>
        </row>
        <row r="56">
          <cell r="A56">
            <v>46171</v>
          </cell>
          <cell r="H56" t="str">
            <v/>
          </cell>
          <cell r="N56">
            <v>0</v>
          </cell>
          <cell r="X56" t="str">
            <v>BEATA MARIA KUHNWALD</v>
          </cell>
        </row>
        <row r="57">
          <cell r="A57">
            <v>46170</v>
          </cell>
          <cell r="H57" t="str">
            <v>JOANNA MAŁGORZATA WIĘCZKOWSKA WYSZYŃSKIEGO 37A M 40</v>
          </cell>
          <cell r="N57">
            <v>190.91</v>
          </cell>
          <cell r="X57" t="str">
            <v>LR HEALTH&amp;BEAUTY SYSTEMS SP. Z O O.</v>
          </cell>
        </row>
        <row r="58">
          <cell r="A58">
            <v>46169</v>
          </cell>
          <cell r="H58" t="str">
            <v>AGNIESZKA ANNA MAŁKIEWICZ WIELKI G ŁĘBOCZEK 4 87-313 WIELKI GŁĘBOCZEK</v>
          </cell>
          <cell r="N58">
            <v>220.4</v>
          </cell>
          <cell r="X58" t="str">
            <v>WALDEMAR KLIMIK</v>
          </cell>
        </row>
        <row r="59">
          <cell r="A59">
            <v>46169</v>
          </cell>
          <cell r="H59" t="str">
            <v>Agnieszka Szymańska</v>
          </cell>
          <cell r="N59">
            <v>244.89</v>
          </cell>
          <cell r="X59" t="str">
            <v>WIOLETTA BORUCKA</v>
          </cell>
        </row>
        <row r="60">
          <cell r="A60">
            <v>46169</v>
          </cell>
          <cell r="H60" t="str">
            <v/>
          </cell>
          <cell r="N60">
            <v>0</v>
          </cell>
          <cell r="X60" t="str">
            <v>AUTOPAY SPÓŁKA AKCYJNA UL. POWSTAŃC ÓW WARSZAWY 6 81-718 SOPOT</v>
          </cell>
        </row>
        <row r="61">
          <cell r="A61">
            <v>46168</v>
          </cell>
          <cell r="H61" t="str">
            <v>AUTOPAY SPÓŁKA AKCYJNA UL. POWSTAŃC ÓW WARSZAWY 6 81-718 SOPOT PL</v>
          </cell>
          <cell r="N61">
            <v>137.69999999999999</v>
          </cell>
          <cell r="X61" t="str">
            <v>ENERGA OBRÓT SPÓŁKA AKCYJNA</v>
          </cell>
        </row>
        <row r="62">
          <cell r="A62">
            <v>46167</v>
          </cell>
          <cell r="H62" t="str">
            <v/>
          </cell>
          <cell r="N62">
            <v>0</v>
          </cell>
          <cell r="X62" t="str">
            <v>TOMASZ JERZY ROSIŃSKI</v>
          </cell>
        </row>
        <row r="63">
          <cell r="A63">
            <v>46167</v>
          </cell>
          <cell r="H63" t="str">
            <v>AUTOPAY SPÓŁKA AKCYJNA UL.POWSTAŃCÓW WARSZAWY 6</v>
          </cell>
          <cell r="N63">
            <v>196.86</v>
          </cell>
          <cell r="X63" t="str">
            <v>DOROTA ANNA UMIŃSKA</v>
          </cell>
        </row>
        <row r="64">
          <cell r="A64">
            <v>46164</v>
          </cell>
          <cell r="H64" t="str">
            <v/>
          </cell>
          <cell r="N64">
            <v>0</v>
          </cell>
          <cell r="X64" t="str">
            <v>MAREK KLIMIK PIASTOWSKA 6/38</v>
          </cell>
        </row>
        <row r="65">
          <cell r="A65">
            <v>46163</v>
          </cell>
          <cell r="H65" t="str">
            <v>AUTOPAY SPÓŁKA AKCYJNA UL.POWSTAŃCÓW WARSZAWY 6</v>
          </cell>
          <cell r="N65">
            <v>144.41999999999999</v>
          </cell>
          <cell r="X65" t="str">
            <v>ANNA WARMIŃSKA</v>
          </cell>
        </row>
        <row r="66">
          <cell r="A66">
            <v>46163</v>
          </cell>
          <cell r="H66" t="str">
            <v>AUTOPAY SPÓŁKA AKCYJNA UL. POWSTAŃC ÓW WARSZAWY 6 81-718 SOPOT PL</v>
          </cell>
          <cell r="N66">
            <v>168.68</v>
          </cell>
          <cell r="X66" t="str">
            <v>WOJCIECH ROSZAK OGRODOWA 9</v>
          </cell>
        </row>
        <row r="67">
          <cell r="A67">
            <v>46162</v>
          </cell>
          <cell r="H67" t="str">
            <v xml:space="preserve">ŁUKASZEWSKA SYLWIA </v>
          </cell>
          <cell r="N67">
            <v>300.02</v>
          </cell>
          <cell r="X67" t="str">
            <v>FUNDACJA ROZWOJU WARMII I MAZUR</v>
          </cell>
        </row>
        <row r="68">
          <cell r="A68">
            <v>46161</v>
          </cell>
          <cell r="H68" t="str">
            <v>AUTOPAY SPÓŁKA AKCYJNA UL.POWSTAŃCÓW WARSZAWY 6</v>
          </cell>
          <cell r="N68">
            <v>276.3</v>
          </cell>
          <cell r="X68" t="str">
            <v>AUTOPAY SPÓŁKA AKCYJNA UL. POWSTAŃC ÓW WARSZAWY 6 81-718 SOPOT AUTOPAY</v>
          </cell>
        </row>
        <row r="69">
          <cell r="A69">
            <v>46161</v>
          </cell>
          <cell r="H69" t="str">
            <v>AUTOPAY SPÓŁKA AKCYJNA UL.POWSTAŃCÓW WARSZAWY 6</v>
          </cell>
          <cell r="N69">
            <v>474.44</v>
          </cell>
          <cell r="X69" t="str">
            <v>BOŻENA CHRAPKOWSKA</v>
          </cell>
        </row>
        <row r="70">
          <cell r="A70">
            <v>46160</v>
          </cell>
          <cell r="H70" t="str">
            <v/>
          </cell>
          <cell r="N70">
            <v>0</v>
          </cell>
          <cell r="X70" t="str">
            <v>POWIAT IŁAWSKI - POWIATOWY URZĄD PRACY W IŁAWIE</v>
          </cell>
        </row>
        <row r="71">
          <cell r="A71">
            <v>46160</v>
          </cell>
          <cell r="H71" t="str">
            <v xml:space="preserve">MAGDALENA BŁASZKOWSKA </v>
          </cell>
          <cell r="N71">
            <v>243.2</v>
          </cell>
          <cell r="X71" t="str">
            <v>DARTRADE DARIA WRUKOWSKA</v>
          </cell>
        </row>
        <row r="72">
          <cell r="A72">
            <v>46160</v>
          </cell>
          <cell r="H72" t="str">
            <v xml:space="preserve">BAJOR MICHAŁ </v>
          </cell>
          <cell r="N72">
            <v>350.9</v>
          </cell>
          <cell r="X72" t="str">
            <v>KAMILA GUROWSKA</v>
          </cell>
        </row>
        <row r="73">
          <cell r="A73">
            <v>46160</v>
          </cell>
          <cell r="H73" t="str">
            <v>Agnieszka Szymańska</v>
          </cell>
          <cell r="N73">
            <v>244.89</v>
          </cell>
          <cell r="X73" t="str">
            <v>ŚWIĘCKI SŁAWOMIR</v>
          </cell>
        </row>
        <row r="74">
          <cell r="A74">
            <v>46160</v>
          </cell>
          <cell r="H74" t="str">
            <v>WRÓBEL MAŁGORZATA</v>
          </cell>
          <cell r="N74">
            <v>213.33</v>
          </cell>
          <cell r="X74" t="str">
            <v>PIOTR OCHOCKI WIŚNIOWA 15</v>
          </cell>
        </row>
        <row r="75">
          <cell r="A75">
            <v>46160</v>
          </cell>
          <cell r="H75" t="str">
            <v xml:space="preserve">ANETA ELŻBIETA NAWORSKA </v>
          </cell>
          <cell r="N75">
            <v>307.2</v>
          </cell>
          <cell r="X75" t="str">
            <v>BOGDAN KRAWCZYK UL. STAROWIEJSKA 20 13-306 MARZĘCICE BOGDAN KRAWCZYK U</v>
          </cell>
        </row>
        <row r="76">
          <cell r="A76">
            <v>46160</v>
          </cell>
          <cell r="H76" t="str">
            <v/>
          </cell>
          <cell r="N76">
            <v>0</v>
          </cell>
          <cell r="X76" t="str">
            <v>EPRO SP. Z O.O. UL. MIKOŁAJSKA NR 25</v>
          </cell>
        </row>
        <row r="77">
          <cell r="A77">
            <v>46160</v>
          </cell>
          <cell r="H77" t="str">
            <v/>
          </cell>
          <cell r="N77">
            <v>0</v>
          </cell>
          <cell r="X77" t="str">
            <v>CONSULTING ML LTD</v>
          </cell>
        </row>
        <row r="78">
          <cell r="A78">
            <v>46160</v>
          </cell>
          <cell r="H78" t="str">
            <v/>
          </cell>
          <cell r="N78">
            <v>0</v>
          </cell>
          <cell r="X78" t="str">
            <v>DUMKIEWICZ PAWEŁ I JOANNA</v>
          </cell>
        </row>
        <row r="79">
          <cell r="A79">
            <v>46160</v>
          </cell>
          <cell r="H79" t="str">
            <v/>
          </cell>
          <cell r="N79">
            <v>0</v>
          </cell>
          <cell r="X79" t="str">
            <v>JURKIEWICZ KAMIL JURKIEWICZ JUSTYNA GOSPODARSTWO ROLNE</v>
          </cell>
        </row>
        <row r="80">
          <cell r="A80">
            <v>46160</v>
          </cell>
          <cell r="H80" t="str">
            <v/>
          </cell>
          <cell r="N80">
            <v>0</v>
          </cell>
          <cell r="X80" t="str">
            <v>HETNAR-WÓJCICKA ALINA BARBARA WÓJCI CKI MACIEJ ŁUKASZ</v>
          </cell>
        </row>
        <row r="81">
          <cell r="A81">
            <v>46159</v>
          </cell>
          <cell r="H81" t="str">
            <v/>
          </cell>
          <cell r="N81">
            <v>0</v>
          </cell>
          <cell r="X81" t="str">
            <v>EWA ŁUCJA OSTROWSKA</v>
          </cell>
        </row>
        <row r="82">
          <cell r="A82">
            <v>46159</v>
          </cell>
          <cell r="H82" t="str">
            <v>HANNA MARIA GAMALSKA</v>
          </cell>
          <cell r="N82">
            <v>134.97999999999999</v>
          </cell>
          <cell r="X82" t="str">
            <v>MONIKA ŁUKOMSKA</v>
          </cell>
        </row>
        <row r="83">
          <cell r="A83">
            <v>46159</v>
          </cell>
          <cell r="H83" t="str">
            <v/>
          </cell>
          <cell r="N83">
            <v>0</v>
          </cell>
          <cell r="X83" t="str">
            <v>EWELINA JADWIGA ULIAS</v>
          </cell>
        </row>
        <row r="84">
          <cell r="A84">
            <v>46157</v>
          </cell>
          <cell r="H84" t="str">
            <v/>
          </cell>
          <cell r="N84">
            <v>0</v>
          </cell>
          <cell r="X84" t="str">
            <v>SAMANTA SZPAKOWSKA KS. JANA BATKE 4</v>
          </cell>
        </row>
        <row r="85">
          <cell r="A85">
            <v>46156</v>
          </cell>
          <cell r="H85" t="str">
            <v>AUTOPAY SPÓŁKA AKCYJNA UL.POWSTAŃCÓW WARSZAWY 6</v>
          </cell>
          <cell r="N85">
            <v>708.84</v>
          </cell>
          <cell r="X85" t="str">
            <v>KAMILLA TEMPLIN</v>
          </cell>
        </row>
        <row r="86">
          <cell r="A86">
            <v>46155</v>
          </cell>
          <cell r="H86" t="str">
            <v>AUTOPAY SPÓŁKA AKCYJNA UL.POWSTAŃCÓW WARSZAWY 6</v>
          </cell>
          <cell r="N86">
            <v>130.74</v>
          </cell>
          <cell r="X86" t="str">
            <v>MARTA KARBOWSKA</v>
          </cell>
        </row>
        <row r="87">
          <cell r="A87">
            <v>46154</v>
          </cell>
          <cell r="H87" t="str">
            <v>AUTOPAY SPÓŁKA AKCYJNA UL.POWSTAŃCÓW WARSZAWY 6</v>
          </cell>
          <cell r="N87">
            <v>394.45</v>
          </cell>
          <cell r="X87" t="str">
            <v>KAROLINA CIECIUCH</v>
          </cell>
        </row>
        <row r="88">
          <cell r="A88">
            <v>46154</v>
          </cell>
          <cell r="H88" t="str">
            <v>AUTOPAY SPÓŁKA AKCYJNA UL.POWSTAŃCÓW WARSZAWY 6</v>
          </cell>
          <cell r="N88">
            <v>478.36</v>
          </cell>
          <cell r="X88" t="str">
            <v>ANETA RACKA</v>
          </cell>
        </row>
        <row r="89">
          <cell r="A89">
            <v>46154</v>
          </cell>
          <cell r="H89" t="str">
            <v xml:space="preserve">TRZEBIATOWSKA-MACIEJKO EWA </v>
          </cell>
          <cell r="N89">
            <v>284.44</v>
          </cell>
          <cell r="X89" t="str">
            <v>Krzysztof Jakielski</v>
          </cell>
        </row>
        <row r="90">
          <cell r="A90">
            <v>46154</v>
          </cell>
          <cell r="H90" t="str">
            <v xml:space="preserve">LR HEALTH&amp;BEAUTY SYSTEMS SP. Z O O. </v>
          </cell>
          <cell r="N90">
            <v>2966.15</v>
          </cell>
        </row>
        <row r="91">
          <cell r="A91">
            <v>46153</v>
          </cell>
          <cell r="H91" t="str">
            <v>RAFAŁ JANUSZ MATUKIEWICZ GEN. WARAKSIEWICZA 9</v>
          </cell>
          <cell r="N91">
            <v>235.6</v>
          </cell>
        </row>
        <row r="92">
          <cell r="A92">
            <v>46153</v>
          </cell>
          <cell r="H92" t="str">
            <v>AUTOPAY SPÓŁKA AKCYJNA UL.POWSTAŃCÓW WARSZAWY 6</v>
          </cell>
          <cell r="N92">
            <v>841.1</v>
          </cell>
        </row>
        <row r="93">
          <cell r="A93">
            <v>46153</v>
          </cell>
          <cell r="H93" t="str">
            <v>AUTOPAY SPÓŁKA AKCYJNA UL.POWSTAŃCÓW WARSZAWY 6</v>
          </cell>
          <cell r="N93">
            <v>516.88</v>
          </cell>
        </row>
        <row r="94">
          <cell r="A94">
            <v>46153</v>
          </cell>
          <cell r="H94" t="str">
            <v/>
          </cell>
          <cell r="N94">
            <v>0</v>
          </cell>
        </row>
        <row r="95">
          <cell r="A95">
            <v>46153</v>
          </cell>
          <cell r="H95" t="str">
            <v/>
          </cell>
          <cell r="N95">
            <v>0</v>
          </cell>
        </row>
        <row r="96">
          <cell r="A96">
            <v>46153</v>
          </cell>
          <cell r="H96" t="str">
            <v/>
          </cell>
          <cell r="N96">
            <v>0</v>
          </cell>
        </row>
        <row r="97">
          <cell r="A97">
            <v>46153</v>
          </cell>
          <cell r="H97" t="str">
            <v xml:space="preserve">WALDEMAR KLIMIK </v>
          </cell>
          <cell r="N97">
            <v>220.4</v>
          </cell>
        </row>
        <row r="98">
          <cell r="A98">
            <v>46151</v>
          </cell>
          <cell r="H98" t="str">
            <v xml:space="preserve">WALDEMAR KLIMIK </v>
          </cell>
          <cell r="N98">
            <v>224.96</v>
          </cell>
        </row>
        <row r="99">
          <cell r="A99">
            <v>46150</v>
          </cell>
          <cell r="H99" t="str">
            <v>GABINET PSYCHOTERAPII UZALEŻNIEŃ I WSPÓŁUZALEŻNIENIA EWA KACPERSKA</v>
          </cell>
          <cell r="N99">
            <v>191.91</v>
          </cell>
        </row>
        <row r="100">
          <cell r="A100">
            <v>46150</v>
          </cell>
          <cell r="H100" t="str">
            <v xml:space="preserve">ŁUKASZ MARCIN TARCHANOW </v>
          </cell>
          <cell r="N100">
            <v>322.67</v>
          </cell>
        </row>
        <row r="101">
          <cell r="A101">
            <v>46150</v>
          </cell>
          <cell r="H101" t="str">
            <v/>
          </cell>
          <cell r="N101">
            <v>0</v>
          </cell>
        </row>
        <row r="102">
          <cell r="A102">
            <v>46150</v>
          </cell>
          <cell r="H102" t="str">
            <v/>
          </cell>
          <cell r="N102">
            <v>0</v>
          </cell>
        </row>
        <row r="103">
          <cell r="A103">
            <v>46150</v>
          </cell>
          <cell r="H103" t="str">
            <v/>
          </cell>
          <cell r="N103">
            <v>0</v>
          </cell>
        </row>
        <row r="104">
          <cell r="A104">
            <v>46150</v>
          </cell>
          <cell r="H104" t="str">
            <v xml:space="preserve">KOCHANOWSKA IWONA </v>
          </cell>
          <cell r="N104">
            <v>367.84</v>
          </cell>
        </row>
        <row r="105">
          <cell r="A105">
            <v>46150</v>
          </cell>
          <cell r="H105" t="str">
            <v>LUBIENIECKA M I LUBIENIECKI M UL. KOLOROWA 17</v>
          </cell>
          <cell r="N105">
            <v>235.6</v>
          </cell>
        </row>
        <row r="106">
          <cell r="A106">
            <v>46150</v>
          </cell>
          <cell r="H106" t="str">
            <v>BOJANOWSKA ANETA LASECZNO MAŁE 79</v>
          </cell>
          <cell r="N106">
            <v>232</v>
          </cell>
        </row>
        <row r="107">
          <cell r="A107">
            <v>46149</v>
          </cell>
          <cell r="H107" t="str">
            <v xml:space="preserve">MAGDALENA GETKA </v>
          </cell>
          <cell r="N107">
            <v>2324</v>
          </cell>
        </row>
        <row r="108">
          <cell r="A108">
            <v>46149</v>
          </cell>
          <cell r="H108" t="str">
            <v>AUTOPAY SPÓŁKA AKCYJNA UL.POWSTAŃCÓW WARSZAWY 6</v>
          </cell>
          <cell r="N108">
            <v>1515.68</v>
          </cell>
        </row>
        <row r="109">
          <cell r="A109">
            <v>46148</v>
          </cell>
          <cell r="H109" t="str">
            <v>MARTA KUŹNIEWSKA KSIĘŻNEJ DOBRAWY 21 A</v>
          </cell>
          <cell r="N109">
            <v>232</v>
          </cell>
        </row>
        <row r="110">
          <cell r="A110">
            <v>46148</v>
          </cell>
          <cell r="H110" t="str">
            <v>AUTOPAY SPÓŁKA AKCYJNA UL.POWSTAŃCÓW WARSZAWY 6</v>
          </cell>
          <cell r="N110">
            <v>216.88</v>
          </cell>
        </row>
        <row r="111">
          <cell r="A111">
            <v>46148</v>
          </cell>
          <cell r="H111" t="str">
            <v/>
          </cell>
          <cell r="N111">
            <v>0</v>
          </cell>
        </row>
        <row r="112">
          <cell r="A112">
            <v>46148</v>
          </cell>
          <cell r="H112" t="str">
            <v>MAREK KLIMIK PIASTOWSKA 6/38 6/38</v>
          </cell>
          <cell r="N112">
            <v>367.84</v>
          </cell>
        </row>
        <row r="113">
          <cell r="A113">
            <v>46148</v>
          </cell>
          <cell r="H113" t="str">
            <v xml:space="preserve">ANNA WARMIŃSKA </v>
          </cell>
          <cell r="N113">
            <v>220.4</v>
          </cell>
        </row>
        <row r="114">
          <cell r="A114">
            <v>46147</v>
          </cell>
          <cell r="H114" t="str">
            <v>AUTOPAY SPÓŁKA AKCYJNA UL.POWSTAŃCÓW WARSZAWY 6</v>
          </cell>
          <cell r="N114">
            <v>310.88</v>
          </cell>
        </row>
        <row r="115">
          <cell r="A115">
            <v>46146</v>
          </cell>
          <cell r="H115" t="str">
            <v>EMILIA MARIA PIECUCH</v>
          </cell>
          <cell r="N115">
            <v>243.2</v>
          </cell>
        </row>
        <row r="116">
          <cell r="A116">
            <v>46146</v>
          </cell>
          <cell r="H116" t="str">
            <v>AUTOPAY SPÓŁKA AKCYJNA UL.POWSTAŃCÓW WARSZAWY 6</v>
          </cell>
          <cell r="N116">
            <v>310.88</v>
          </cell>
        </row>
        <row r="117">
          <cell r="A117">
            <v>46146</v>
          </cell>
          <cell r="H117" t="str">
            <v xml:space="preserve">ŁUKASZ NOWAK </v>
          </cell>
          <cell r="N117">
            <v>127.52</v>
          </cell>
        </row>
        <row r="118">
          <cell r="A118">
            <v>46146</v>
          </cell>
          <cell r="H118" t="str">
            <v>AUTOPAY SPÓŁKA AKCYJNA UL.POWSTAŃCÓW WARSZAWY 6</v>
          </cell>
          <cell r="N118">
            <v>978.88</v>
          </cell>
        </row>
        <row r="119">
          <cell r="A119">
            <v>46146</v>
          </cell>
          <cell r="H119" t="str">
            <v>MONIKA SZEFLER OBROŃCÓW WESTERPLATTE 2/11</v>
          </cell>
          <cell r="N119">
            <v>208.8</v>
          </cell>
        </row>
        <row r="120">
          <cell r="A120">
            <v>46146</v>
          </cell>
          <cell r="H120" t="str">
            <v>ŁUKASZ NOWAK</v>
          </cell>
          <cell r="N120">
            <v>283.56</v>
          </cell>
        </row>
        <row r="121">
          <cell r="A121">
            <v>46142</v>
          </cell>
          <cell r="H121" t="str">
            <v/>
          </cell>
          <cell r="N121">
            <v>0</v>
          </cell>
        </row>
        <row r="122">
          <cell r="A122">
            <v>46142</v>
          </cell>
          <cell r="H122" t="str">
            <v/>
          </cell>
          <cell r="N122">
            <v>0</v>
          </cell>
        </row>
        <row r="123">
          <cell r="A123">
            <v>46142</v>
          </cell>
          <cell r="H123" t="str">
            <v>AUTOPAY SPÓŁKA AKCYJNA UL.POWSTAŃCÓW WARSZAWY 6</v>
          </cell>
          <cell r="N123">
            <v>671.36</v>
          </cell>
        </row>
        <row r="124">
          <cell r="A124">
            <v>46142</v>
          </cell>
          <cell r="H124" t="str">
            <v>ANIMEX FOODS SP. Z O.O. CHALUBINSKIEGO 8</v>
          </cell>
          <cell r="N124">
            <v>1340</v>
          </cell>
        </row>
        <row r="125">
          <cell r="A125">
            <v>46141</v>
          </cell>
          <cell r="H125" t="str">
            <v>ILONA TERESA PATURALSKA</v>
          </cell>
          <cell r="N125">
            <v>312.89</v>
          </cell>
        </row>
        <row r="126">
          <cell r="A126">
            <v>46141</v>
          </cell>
          <cell r="H126" t="str">
            <v>TOMASZ TYC</v>
          </cell>
          <cell r="N126">
            <v>208.8</v>
          </cell>
        </row>
        <row r="127">
          <cell r="A127">
            <v>46141</v>
          </cell>
          <cell r="H127" t="str">
            <v/>
          </cell>
          <cell r="N127">
            <v>0</v>
          </cell>
        </row>
        <row r="128">
          <cell r="A128">
            <v>46141</v>
          </cell>
          <cell r="H128" t="str">
            <v/>
          </cell>
          <cell r="N128">
            <v>0</v>
          </cell>
        </row>
        <row r="129">
          <cell r="A129">
            <v>46141</v>
          </cell>
          <cell r="H129" t="str">
            <v/>
          </cell>
          <cell r="N129">
            <v>0</v>
          </cell>
        </row>
        <row r="130">
          <cell r="A130">
            <v>46141</v>
          </cell>
          <cell r="H130" t="str">
            <v/>
          </cell>
          <cell r="N130">
            <v>0</v>
          </cell>
        </row>
        <row r="131">
          <cell r="A131">
            <v>46141</v>
          </cell>
          <cell r="H131" t="str">
            <v/>
          </cell>
          <cell r="N131">
            <v>0</v>
          </cell>
        </row>
        <row r="132">
          <cell r="A132">
            <v>46141</v>
          </cell>
          <cell r="H132" t="str">
            <v>AUTOPAY SPÓŁKA AKCYJNA UL.POWSTAŃCÓW WARSZAWY 6</v>
          </cell>
          <cell r="N132">
            <v>640.09</v>
          </cell>
        </row>
        <row r="133">
          <cell r="A133">
            <v>46140</v>
          </cell>
          <cell r="H133" t="str">
            <v/>
          </cell>
          <cell r="N133">
            <v>0</v>
          </cell>
        </row>
        <row r="134">
          <cell r="A134">
            <v>46140</v>
          </cell>
          <cell r="H134" t="str">
            <v>JOANNA MAŁGORZATA WIĘCZKOWSKA WYSZYŃSKIEGO 37A M 40</v>
          </cell>
          <cell r="N134">
            <v>190.91</v>
          </cell>
        </row>
        <row r="135">
          <cell r="A135">
            <v>46139</v>
          </cell>
          <cell r="H135" t="str">
            <v/>
          </cell>
          <cell r="N135">
            <v>0</v>
          </cell>
        </row>
        <row r="136">
          <cell r="A136">
            <v>46139</v>
          </cell>
          <cell r="H136" t="str">
            <v/>
          </cell>
          <cell r="N136">
            <v>0</v>
          </cell>
        </row>
        <row r="137">
          <cell r="A137">
            <v>46139</v>
          </cell>
          <cell r="H137" t="str">
            <v/>
          </cell>
          <cell r="N137">
            <v>0</v>
          </cell>
        </row>
        <row r="138">
          <cell r="A138">
            <v>46139</v>
          </cell>
          <cell r="H138" t="str">
            <v/>
          </cell>
          <cell r="N138">
            <v>0</v>
          </cell>
        </row>
        <row r="139">
          <cell r="A139">
            <v>46139</v>
          </cell>
          <cell r="H139" t="str">
            <v/>
          </cell>
          <cell r="N139">
            <v>0</v>
          </cell>
        </row>
        <row r="140">
          <cell r="A140">
            <v>46139</v>
          </cell>
          <cell r="H140" t="str">
            <v/>
          </cell>
          <cell r="N140">
            <v>0</v>
          </cell>
        </row>
        <row r="141">
          <cell r="A141">
            <v>46139</v>
          </cell>
          <cell r="H141" t="str">
            <v>AUTOPAY SPÓŁKA AKCYJNA UL.POWSTAŃCÓW WARSZAWY 6</v>
          </cell>
          <cell r="N141">
            <v>230</v>
          </cell>
        </row>
        <row r="142">
          <cell r="A142">
            <v>46139</v>
          </cell>
          <cell r="H142" t="str">
            <v/>
          </cell>
          <cell r="N142">
            <v>0</v>
          </cell>
        </row>
        <row r="143">
          <cell r="A143">
            <v>46135</v>
          </cell>
          <cell r="H143" t="str">
            <v>BAJOR MICHAŁ</v>
          </cell>
          <cell r="N143">
            <v>350.9</v>
          </cell>
        </row>
        <row r="144">
          <cell r="A144">
            <v>46135</v>
          </cell>
          <cell r="H144" t="str">
            <v>AUTOPAY SPÓŁKA AKCYJNA UL. POWSTAŃC ÓW WARSZAWY 6 81-718 SOPOT PL</v>
          </cell>
          <cell r="N144">
            <v>936.71</v>
          </cell>
        </row>
        <row r="145">
          <cell r="A145">
            <v>46134</v>
          </cell>
          <cell r="H145" t="str">
            <v>MARZENA SZYMAŃSKA SAMPŁAWA 40</v>
          </cell>
          <cell r="N145">
            <v>91.39</v>
          </cell>
        </row>
        <row r="146">
          <cell r="A146">
            <v>46134</v>
          </cell>
          <cell r="H146" t="str">
            <v>ANETA ELŻBIETA NAWORSKA</v>
          </cell>
          <cell r="N146">
            <v>307.2</v>
          </cell>
        </row>
        <row r="147">
          <cell r="A147">
            <v>46134</v>
          </cell>
          <cell r="H147" t="str">
            <v>AUTOPAY SPÓŁKA AKCYJNA UL. POWSTAŃC ÓW WARSZAWY 6 81-718 SOPOT PL</v>
          </cell>
          <cell r="N147">
            <v>241.2</v>
          </cell>
        </row>
        <row r="148">
          <cell r="A148">
            <v>46134</v>
          </cell>
          <cell r="H148" t="str">
            <v xml:space="preserve">BEATA MARIA KUHNWALD </v>
          </cell>
          <cell r="N148">
            <v>56.24</v>
          </cell>
        </row>
        <row r="149">
          <cell r="A149">
            <v>46133</v>
          </cell>
          <cell r="H149" t="str">
            <v>AUTOPAY SPÓŁKA AKCYJNA UL. POWSTAŃC ÓW WARSZAWY 6 81-718 SOPOT PL</v>
          </cell>
          <cell r="N149">
            <v>281.55</v>
          </cell>
        </row>
        <row r="150">
          <cell r="A150">
            <v>46133</v>
          </cell>
          <cell r="H150" t="str">
            <v/>
          </cell>
          <cell r="N150">
            <v>0</v>
          </cell>
        </row>
        <row r="151">
          <cell r="A151">
            <v>46133</v>
          </cell>
          <cell r="H151" t="str">
            <v/>
          </cell>
          <cell r="N151">
            <v>0</v>
          </cell>
        </row>
        <row r="152">
          <cell r="A152">
            <v>46133</v>
          </cell>
          <cell r="H152" t="str">
            <v/>
          </cell>
          <cell r="N152">
            <v>0</v>
          </cell>
        </row>
        <row r="153">
          <cell r="A153">
            <v>46133</v>
          </cell>
          <cell r="H153" t="str">
            <v/>
          </cell>
          <cell r="N153">
            <v>0</v>
          </cell>
        </row>
        <row r="154">
          <cell r="A154">
            <v>46133</v>
          </cell>
          <cell r="H154" t="str">
            <v/>
          </cell>
          <cell r="N154">
            <v>0</v>
          </cell>
        </row>
        <row r="155">
          <cell r="A155">
            <v>46133</v>
          </cell>
          <cell r="H155" t="str">
            <v/>
          </cell>
          <cell r="N155">
            <v>0</v>
          </cell>
        </row>
        <row r="156">
          <cell r="A156">
            <v>46133</v>
          </cell>
          <cell r="H156" t="str">
            <v/>
          </cell>
          <cell r="N156">
            <v>0</v>
          </cell>
        </row>
        <row r="157">
          <cell r="A157">
            <v>46132</v>
          </cell>
          <cell r="H157" t="str">
            <v>AUTOPAY SPÓŁKA AKCYJNA UL.POWSTAŃCÓW WARSZAWY 6</v>
          </cell>
          <cell r="N157">
            <v>474.44</v>
          </cell>
        </row>
        <row r="158">
          <cell r="A158">
            <v>46132</v>
          </cell>
          <cell r="H158" t="str">
            <v>ŁUKASZEWSKA SYLWIA</v>
          </cell>
          <cell r="N158">
            <v>300.02</v>
          </cell>
        </row>
        <row r="159">
          <cell r="A159">
            <v>46132</v>
          </cell>
          <cell r="H159" t="str">
            <v>MONIKA A MARASZEK UL. NIEPODLEGŁOŚC I 4 82-550 PRABUTY MONIKA A MARASZE</v>
          </cell>
          <cell r="N159">
            <v>319</v>
          </cell>
        </row>
        <row r="160">
          <cell r="A160">
            <v>46131</v>
          </cell>
          <cell r="H160" t="str">
            <v/>
          </cell>
          <cell r="N160">
            <v>0</v>
          </cell>
        </row>
        <row r="161">
          <cell r="A161">
            <v>46129</v>
          </cell>
          <cell r="H161" t="str">
            <v>AUTOPAY SPÓŁKA AKCYJNA UL.POWSTAŃCÓW WARSZAWY 6</v>
          </cell>
          <cell r="N161">
            <v>902.66</v>
          </cell>
        </row>
        <row r="162">
          <cell r="A162">
            <v>46129</v>
          </cell>
          <cell r="H162" t="str">
            <v/>
          </cell>
          <cell r="N162">
            <v>0</v>
          </cell>
        </row>
        <row r="163">
          <cell r="A163">
            <v>46128</v>
          </cell>
          <cell r="H163" t="str">
            <v>MAGDALENA BŁASZKOWSKA</v>
          </cell>
          <cell r="N163">
            <v>243.2</v>
          </cell>
        </row>
        <row r="164">
          <cell r="A164">
            <v>46128</v>
          </cell>
          <cell r="H164" t="str">
            <v xml:space="preserve">KOCHANOWSKA IWONA </v>
          </cell>
          <cell r="N164">
            <v>367.84</v>
          </cell>
        </row>
        <row r="165">
          <cell r="A165">
            <v>46128</v>
          </cell>
          <cell r="H165" t="str">
            <v>AUTOPAY SPÓŁKA AKCYJNA UL.POWSTAŃCÓW WARSZAWY 6</v>
          </cell>
          <cell r="N165">
            <v>1149.4000000000001</v>
          </cell>
        </row>
        <row r="166">
          <cell r="A166">
            <v>46128</v>
          </cell>
          <cell r="H166" t="str">
            <v>WRÓBEL MAŁGORZATA</v>
          </cell>
          <cell r="N166">
            <v>213.33</v>
          </cell>
        </row>
        <row r="167">
          <cell r="A167">
            <v>46128</v>
          </cell>
          <cell r="H167" t="str">
            <v>HANNA MARIA GAMALSKA</v>
          </cell>
          <cell r="N167">
            <v>224.96</v>
          </cell>
        </row>
        <row r="168">
          <cell r="A168">
            <v>46127</v>
          </cell>
          <cell r="H168" t="str">
            <v>BARTON POLSKA SPÓŁKA Z OGRANICZONĄ ODPOWIEDZIALNOŚCIĄ</v>
          </cell>
          <cell r="N168">
            <v>2880</v>
          </cell>
        </row>
        <row r="169">
          <cell r="A169">
            <v>46127</v>
          </cell>
          <cell r="H169" t="str">
            <v>AUTOPAY SPÓŁKA AKCYJNA UL.POWSTAŃCÓW WARSZAWY 6</v>
          </cell>
          <cell r="N169">
            <v>1436.64</v>
          </cell>
        </row>
        <row r="170">
          <cell r="A170">
            <v>46127</v>
          </cell>
          <cell r="H170" t="str">
            <v xml:space="preserve">LR HEALTH&amp;BEAUTY SYSTEMS SP. Z O O. </v>
          </cell>
          <cell r="N170">
            <v>2965.12</v>
          </cell>
        </row>
        <row r="171">
          <cell r="A171">
            <v>46126</v>
          </cell>
          <cell r="H171" t="str">
            <v>ŁUKASZ MARCIN TARCHANOW</v>
          </cell>
          <cell r="N171">
            <v>322.67</v>
          </cell>
        </row>
        <row r="172">
          <cell r="A172">
            <v>46126</v>
          </cell>
          <cell r="H172" t="str">
            <v>AUTOPAY SPÓŁKA AKCYJNA UL.POWSTAŃCÓW WARSZAWY 6</v>
          </cell>
          <cell r="N172">
            <v>1043.4000000000001</v>
          </cell>
        </row>
        <row r="173">
          <cell r="A173">
            <v>46125</v>
          </cell>
          <cell r="H173" t="str">
            <v>AUTOPAY SPÓŁKA AKCYJNA UL.POWSTAŃCÓW WARSZAWY 6</v>
          </cell>
          <cell r="N173">
            <v>718.41</v>
          </cell>
        </row>
        <row r="174">
          <cell r="A174">
            <v>46125</v>
          </cell>
          <cell r="H174" t="str">
            <v>AUTOPAY SPÓŁKA AKCYJNA UL.POWSTAŃCÓW WARSZAWY 6</v>
          </cell>
          <cell r="N174">
            <v>1640.33</v>
          </cell>
        </row>
        <row r="175">
          <cell r="A175">
            <v>46125</v>
          </cell>
          <cell r="H175" t="str">
            <v>RAFAŁ JANUSZ MATUKIEWICZ GEN. WARAKSIEWICZA 9</v>
          </cell>
          <cell r="N175">
            <v>235.6</v>
          </cell>
        </row>
        <row r="176">
          <cell r="A176">
            <v>46125</v>
          </cell>
          <cell r="H176" t="str">
            <v>AUTOPAY SPÓŁKA AKCYJNA UL.POWSTAŃCÓW WARSZAWY 6</v>
          </cell>
          <cell r="N176">
            <v>442.6</v>
          </cell>
        </row>
        <row r="177">
          <cell r="A177">
            <v>46125</v>
          </cell>
          <cell r="H177" t="str">
            <v/>
          </cell>
          <cell r="N177">
            <v>0</v>
          </cell>
        </row>
        <row r="178">
          <cell r="A178">
            <v>46122</v>
          </cell>
          <cell r="H178" t="str">
            <v>PATRYCJA KAMILA MACIEJEWSKA</v>
          </cell>
          <cell r="N178">
            <v>497.71</v>
          </cell>
        </row>
        <row r="179">
          <cell r="A179">
            <v>46122</v>
          </cell>
          <cell r="H179" t="str">
            <v>AUTOPAY SPÓŁKA AKCYJNA UL.POWSTAŃCÓW WARSZAWY 6</v>
          </cell>
          <cell r="N179">
            <v>507.33</v>
          </cell>
        </row>
        <row r="180">
          <cell r="A180">
            <v>46122</v>
          </cell>
          <cell r="H180" t="str">
            <v>AGNIESZKA ANNA MAŁKIEWICZ  WIELKI G ŁĘBOCZEK 4 87-313 WIELKI GŁĘBOCZEK</v>
          </cell>
          <cell r="N180">
            <v>220.4</v>
          </cell>
        </row>
        <row r="181">
          <cell r="A181">
            <v>46122</v>
          </cell>
          <cell r="H181" t="str">
            <v>BOJANOWSKA ANETA LASECZNO MAŁE 79</v>
          </cell>
          <cell r="N181">
            <v>232</v>
          </cell>
        </row>
        <row r="182">
          <cell r="A182">
            <v>46122</v>
          </cell>
          <cell r="H182" t="str">
            <v>LUBIENIECKA M I LUBIENIECKI M UL. KOLOROWA 17</v>
          </cell>
          <cell r="N182">
            <v>235.6</v>
          </cell>
        </row>
        <row r="183">
          <cell r="A183">
            <v>46122</v>
          </cell>
          <cell r="H183" t="str">
            <v>TRZEBIATOWSKA-MACIEJKO EWA</v>
          </cell>
          <cell r="N183">
            <v>284.44</v>
          </cell>
        </row>
        <row r="184">
          <cell r="A184">
            <v>46121</v>
          </cell>
          <cell r="H184" t="str">
            <v>ILONA TERESA PATURALSKA</v>
          </cell>
          <cell r="N184">
            <v>312.89</v>
          </cell>
        </row>
        <row r="185">
          <cell r="A185">
            <v>46120</v>
          </cell>
          <cell r="H185" t="str">
            <v xml:space="preserve">WALDEMAR KLIMIK </v>
          </cell>
          <cell r="N185">
            <v>224.96</v>
          </cell>
        </row>
        <row r="186">
          <cell r="A186">
            <v>46120</v>
          </cell>
          <cell r="H186" t="str">
            <v xml:space="preserve">WALDEMAR KLIMIK </v>
          </cell>
          <cell r="N186">
            <v>220.4</v>
          </cell>
        </row>
        <row r="187">
          <cell r="A187">
            <v>46120</v>
          </cell>
          <cell r="H187" t="str">
            <v/>
          </cell>
          <cell r="N187">
            <v>0</v>
          </cell>
        </row>
        <row r="188">
          <cell r="A188">
            <v>46120</v>
          </cell>
          <cell r="H188" t="str">
            <v>AUTOPAY SPÓŁKA AKCYJNA UL.POWSTAŃCÓW WARSZAWY 6</v>
          </cell>
          <cell r="N188">
            <v>648.16999999999996</v>
          </cell>
        </row>
        <row r="189">
          <cell r="A189">
            <v>46119</v>
          </cell>
          <cell r="H189" t="str">
            <v>AUTOPAY SPÓŁKA AKCYJNA UL.POWSTAŃCÓW WARSZAWY 6</v>
          </cell>
          <cell r="N189">
            <v>230</v>
          </cell>
        </row>
        <row r="190">
          <cell r="A190">
            <v>46119</v>
          </cell>
          <cell r="H190" t="str">
            <v>AUTOPAY SPÓŁKA AKCYJNA UL.POWSTAŃCÓW WARSZAWY 6</v>
          </cell>
          <cell r="N190">
            <v>452.57</v>
          </cell>
        </row>
        <row r="191">
          <cell r="A191">
            <v>46115</v>
          </cell>
          <cell r="H191" t="str">
            <v/>
          </cell>
          <cell r="N191">
            <v>0</v>
          </cell>
        </row>
        <row r="192">
          <cell r="A192">
            <v>46115</v>
          </cell>
          <cell r="H192" t="str">
            <v/>
          </cell>
          <cell r="N192">
            <v>0</v>
          </cell>
        </row>
        <row r="193">
          <cell r="A193">
            <v>46115</v>
          </cell>
          <cell r="H193" t="str">
            <v xml:space="preserve">ANNA WARMIŃSKA </v>
          </cell>
          <cell r="N193">
            <v>440.8</v>
          </cell>
        </row>
        <row r="194">
          <cell r="A194">
            <v>46115</v>
          </cell>
          <cell r="H194" t="str">
            <v>EMILIA MARIA PIECUCH</v>
          </cell>
          <cell r="N194">
            <v>243.2</v>
          </cell>
        </row>
        <row r="195">
          <cell r="A195">
            <v>46114</v>
          </cell>
          <cell r="H195" t="str">
            <v>GABINET PSYCHOTERAPII UZALEŻNIEŃ I WSPÓŁUZALEŻNIENIA EWA KACPERSKA</v>
          </cell>
          <cell r="N195">
            <v>191.91</v>
          </cell>
        </row>
        <row r="196">
          <cell r="A196">
            <v>46114</v>
          </cell>
          <cell r="H196" t="str">
            <v>AUTOPAY SPÓŁKA AKCYJNA UL.POWSTAŃCÓW WARSZAWY 6</v>
          </cell>
          <cell r="N196">
            <v>1040.25</v>
          </cell>
        </row>
        <row r="197">
          <cell r="A197">
            <v>46114</v>
          </cell>
          <cell r="H197" t="str">
            <v>MAREK KLIMIK PIASTOWSKA 6/38 6/38</v>
          </cell>
          <cell r="N197">
            <v>367.84</v>
          </cell>
        </row>
        <row r="198">
          <cell r="A198">
            <v>46114</v>
          </cell>
          <cell r="H198" t="str">
            <v/>
          </cell>
          <cell r="N198">
            <v>0</v>
          </cell>
        </row>
        <row r="199">
          <cell r="A199">
            <v>46113</v>
          </cell>
          <cell r="H199" t="str">
            <v>AUTOPAY SPÓŁKA AKCYJNA UL.POWSTAŃCÓW WARSZAWY 6</v>
          </cell>
          <cell r="N199">
            <v>621.78</v>
          </cell>
        </row>
        <row r="200">
          <cell r="A200">
            <v>46113</v>
          </cell>
          <cell r="H200" t="str">
            <v/>
          </cell>
          <cell r="N200">
            <v>0</v>
          </cell>
        </row>
        <row r="201">
          <cell r="A201">
            <v>46113</v>
          </cell>
          <cell r="H201" t="str">
            <v>MARTA KUŹNIEWSKA KSIĘŻNEJ DOBRAWY 21 A</v>
          </cell>
          <cell r="N201">
            <v>232</v>
          </cell>
        </row>
        <row r="202">
          <cell r="A202">
            <v>46113</v>
          </cell>
          <cell r="H202" t="str">
            <v>ŁUKASZ NOWAK</v>
          </cell>
          <cell r="N202">
            <v>291.56</v>
          </cell>
        </row>
        <row r="203">
          <cell r="A203">
            <v>46113</v>
          </cell>
          <cell r="H203" t="str">
            <v>ŁUKASZ NOWAK</v>
          </cell>
          <cell r="N203">
            <v>283.56</v>
          </cell>
        </row>
        <row r="204">
          <cell r="A204">
            <v>46113</v>
          </cell>
          <cell r="H204" t="str">
            <v>MONIKA SZEFLER OBROŃCÓW WESTERPLATTE 2/11</v>
          </cell>
          <cell r="N204">
            <v>208.8</v>
          </cell>
        </row>
        <row r="205">
          <cell r="A205">
            <v>46112</v>
          </cell>
          <cell r="H205" t="str">
            <v/>
          </cell>
          <cell r="N205">
            <v>0</v>
          </cell>
        </row>
        <row r="206">
          <cell r="A206">
            <v>46112</v>
          </cell>
          <cell r="H206" t="str">
            <v/>
          </cell>
          <cell r="N206">
            <v>0</v>
          </cell>
        </row>
        <row r="207">
          <cell r="A207">
            <v>46112</v>
          </cell>
          <cell r="H207" t="str">
            <v/>
          </cell>
          <cell r="N207">
            <v>0</v>
          </cell>
        </row>
        <row r="208">
          <cell r="A208">
            <v>46112</v>
          </cell>
          <cell r="H208" t="str">
            <v>AUTOPAY SPÓŁKA AKCYJNA UL.POWSTAŃCÓW WARSZAWY 6</v>
          </cell>
          <cell r="N208">
            <v>1066.8900000000001</v>
          </cell>
        </row>
        <row r="209">
          <cell r="A209">
            <v>46112</v>
          </cell>
          <cell r="H209" t="str">
            <v/>
          </cell>
          <cell r="N209">
            <v>0</v>
          </cell>
        </row>
        <row r="210">
          <cell r="A210">
            <v>46112</v>
          </cell>
          <cell r="H210" t="str">
            <v/>
          </cell>
          <cell r="N210">
            <v>0</v>
          </cell>
        </row>
        <row r="211">
          <cell r="A211">
            <v>46111</v>
          </cell>
          <cell r="H211" t="str">
            <v>TOMASZ TYC</v>
          </cell>
          <cell r="N211">
            <v>208.8</v>
          </cell>
        </row>
        <row r="212">
          <cell r="A212">
            <v>46111</v>
          </cell>
          <cell r="H212" t="str">
            <v>AUTOPAY SPÓŁKA AKCYJNA UL.POWSTAŃCÓW WARSZAWY 6</v>
          </cell>
          <cell r="N212">
            <v>241.2</v>
          </cell>
        </row>
        <row r="213">
          <cell r="A213">
            <v>46111</v>
          </cell>
          <cell r="H213" t="str">
            <v>ANIMEX FOODS SP. Z O.O. CHALUBINSKIEGO 8</v>
          </cell>
          <cell r="N213">
            <v>1072</v>
          </cell>
        </row>
        <row r="214">
          <cell r="A214">
            <v>46111</v>
          </cell>
          <cell r="H214" t="str">
            <v>JOANNA MAŁGORZATA WIĘCZKOWSKA WYSZYŃSKIEGO 37A M 40</v>
          </cell>
          <cell r="N214">
            <v>190.91</v>
          </cell>
        </row>
        <row r="215">
          <cell r="A215">
            <v>46111</v>
          </cell>
          <cell r="H215" t="str">
            <v>EMILY SZKOŁA JĘZYKÓW OBCYCH EMILIA KŁOSOWSKA</v>
          </cell>
          <cell r="N215">
            <v>285</v>
          </cell>
        </row>
        <row r="216">
          <cell r="A216">
            <v>46109</v>
          </cell>
          <cell r="H216" t="str">
            <v/>
          </cell>
          <cell r="N216">
            <v>0</v>
          </cell>
        </row>
        <row r="217">
          <cell r="A217">
            <v>46108</v>
          </cell>
          <cell r="H217" t="str">
            <v>MAŁKIEWICZ AGNIESZKA WIELKI GŁĘBOCZ EK 4 87-313 WIELKI GŁĘBOCZEK</v>
          </cell>
          <cell r="N217">
            <v>220.4</v>
          </cell>
        </row>
        <row r="218">
          <cell r="A218">
            <v>46108</v>
          </cell>
          <cell r="H218" t="str">
            <v/>
          </cell>
          <cell r="N218">
            <v>0</v>
          </cell>
        </row>
        <row r="219">
          <cell r="A219">
            <v>46108</v>
          </cell>
          <cell r="H219" t="str">
            <v>AUTOPAY SPÓŁKA AKCYJNA UL.POWSTAŃCÓW WARSZAWY 6</v>
          </cell>
          <cell r="N219">
            <v>230</v>
          </cell>
        </row>
        <row r="220">
          <cell r="A220">
            <v>46107</v>
          </cell>
          <cell r="H220" t="str">
            <v>KINGA ZIELIŃSKA</v>
          </cell>
          <cell r="N220">
            <v>244.89</v>
          </cell>
        </row>
        <row r="221">
          <cell r="A221">
            <v>46106</v>
          </cell>
          <cell r="H221" t="str">
            <v>HANNA MARIA GAMALSKA</v>
          </cell>
          <cell r="N221">
            <v>445.36</v>
          </cell>
        </row>
        <row r="222">
          <cell r="A222">
            <v>46106</v>
          </cell>
          <cell r="H222" t="str">
            <v>AUTOPAY SPÓŁKA AKCYJNA UL. POWSTAŃC ÓW WARSZAWY 6 81-718 SOPOT PL</v>
          </cell>
          <cell r="N222">
            <v>301.05</v>
          </cell>
        </row>
        <row r="223">
          <cell r="A223">
            <v>46106</v>
          </cell>
          <cell r="H223" t="str">
            <v/>
          </cell>
          <cell r="N223">
            <v>0</v>
          </cell>
        </row>
        <row r="224">
          <cell r="A224">
            <v>46105</v>
          </cell>
          <cell r="H224" t="str">
            <v/>
          </cell>
          <cell r="N224">
            <v>0</v>
          </cell>
        </row>
        <row r="225">
          <cell r="A225">
            <v>46105</v>
          </cell>
          <cell r="H225" t="str">
            <v>AUTOPAY SPÓŁKA AKCYJNA UL. POWSTAŃC ÓW WARSZAWY 6 81-718 SOPOT PL</v>
          </cell>
          <cell r="N225">
            <v>196.86</v>
          </cell>
        </row>
        <row r="226">
          <cell r="A226">
            <v>46105</v>
          </cell>
          <cell r="H226" t="str">
            <v>MONIKA A MARASZEK UL. NIEPODLEGŁOŚC I 4 82-550 PRABUTY MONIKA A MARASZE</v>
          </cell>
          <cell r="N226">
            <v>319</v>
          </cell>
        </row>
        <row r="227">
          <cell r="A227">
            <v>46104</v>
          </cell>
          <cell r="H227" t="str">
            <v>AUTOPAY SPÓŁKA AKCYJNA UL.POWSTAŃCÓW WARSZAWY 6</v>
          </cell>
          <cell r="N227">
            <v>241.2</v>
          </cell>
        </row>
        <row r="228">
          <cell r="A228">
            <v>46104</v>
          </cell>
          <cell r="H228" t="str">
            <v>AUTOPAY SPÓŁKA AKCYJNA UL.POWSTAŃCÓW WARSZAWY 6</v>
          </cell>
          <cell r="N228">
            <v>281.55</v>
          </cell>
        </row>
        <row r="229">
          <cell r="A229">
            <v>46104</v>
          </cell>
          <cell r="H229" t="str">
            <v>BAJOR MICHAŁ</v>
          </cell>
          <cell r="N229">
            <v>350.9</v>
          </cell>
        </row>
        <row r="230">
          <cell r="A230">
            <v>46104</v>
          </cell>
          <cell r="H230" t="str">
            <v>ANETA ELŻBIETA NAWORSKA</v>
          </cell>
          <cell r="N230">
            <v>307.2</v>
          </cell>
        </row>
        <row r="231">
          <cell r="A231">
            <v>46104</v>
          </cell>
          <cell r="H231" t="str">
            <v/>
          </cell>
          <cell r="N231">
            <v>0</v>
          </cell>
        </row>
        <row r="232">
          <cell r="A232">
            <v>46104</v>
          </cell>
          <cell r="H232" t="str">
            <v/>
          </cell>
          <cell r="N232">
            <v>0</v>
          </cell>
        </row>
        <row r="233">
          <cell r="A233">
            <v>46104</v>
          </cell>
          <cell r="H233" t="str">
            <v/>
          </cell>
          <cell r="N233">
            <v>0</v>
          </cell>
        </row>
        <row r="234">
          <cell r="A234">
            <v>46102</v>
          </cell>
          <cell r="H234" t="str">
            <v/>
          </cell>
          <cell r="N234">
            <v>0</v>
          </cell>
        </row>
        <row r="235">
          <cell r="A235">
            <v>46100</v>
          </cell>
          <cell r="H235" t="str">
            <v>MAGDALENA BŁASZKOWSKA</v>
          </cell>
          <cell r="N235">
            <v>243.2</v>
          </cell>
        </row>
        <row r="236">
          <cell r="A236">
            <v>46100</v>
          </cell>
          <cell r="H236" t="str">
            <v>KOPERA MARTA KOPERA MARCIN</v>
          </cell>
          <cell r="N236">
            <v>220</v>
          </cell>
        </row>
        <row r="237">
          <cell r="A237">
            <v>46100</v>
          </cell>
          <cell r="H237" t="str">
            <v/>
          </cell>
          <cell r="N237">
            <v>0</v>
          </cell>
        </row>
        <row r="238">
          <cell r="A238">
            <v>46099</v>
          </cell>
          <cell r="H238" t="str">
            <v>ŁUKASZEWSKA SYLWIA</v>
          </cell>
          <cell r="N238">
            <v>300.02</v>
          </cell>
        </row>
        <row r="239">
          <cell r="A239">
            <v>46099</v>
          </cell>
          <cell r="H239" t="str">
            <v>WRÓBEL MAŁGORZATA</v>
          </cell>
          <cell r="N239">
            <v>213.33</v>
          </cell>
        </row>
        <row r="240">
          <cell r="A240">
            <v>46098</v>
          </cell>
          <cell r="H240" t="str">
            <v>AUTOPAY SPÓŁKA AKCYJNA UL.POWSTAŃCÓW WARSZAWY 6</v>
          </cell>
          <cell r="N240">
            <v>902.66</v>
          </cell>
        </row>
        <row r="241">
          <cell r="A241">
            <v>46097</v>
          </cell>
          <cell r="H241" t="str">
            <v>AUTOPAY SPÓŁKA AKCYJNA UL.POWSTAŃCÓW WARSZAWY 6</v>
          </cell>
          <cell r="N241">
            <v>823.4</v>
          </cell>
        </row>
        <row r="242">
          <cell r="A242">
            <v>46097</v>
          </cell>
          <cell r="H242" t="str">
            <v>AUTOPAY SPÓŁKA AKCYJNA UL.POWSTAŃCÓW WARSZAWY 6</v>
          </cell>
          <cell r="N242">
            <v>735.29</v>
          </cell>
        </row>
        <row r="243">
          <cell r="A243">
            <v>46097</v>
          </cell>
          <cell r="H243" t="str">
            <v>Agnieszka Szymańska</v>
          </cell>
          <cell r="N243">
            <v>244.89</v>
          </cell>
        </row>
        <row r="244">
          <cell r="A244">
            <v>46097</v>
          </cell>
          <cell r="H244" t="str">
            <v>PATRYCJA KAMILA MACIEJEWSKA</v>
          </cell>
          <cell r="N244">
            <v>497.71</v>
          </cell>
        </row>
        <row r="245">
          <cell r="A245">
            <v>46096</v>
          </cell>
          <cell r="H245" t="str">
            <v>BEATA MARIA KUHNWALD</v>
          </cell>
          <cell r="N245">
            <v>224.96</v>
          </cell>
        </row>
        <row r="246">
          <cell r="A246">
            <v>46096</v>
          </cell>
          <cell r="H246" t="str">
            <v>ŁUKASZ MARCIN TARCHANOW</v>
          </cell>
          <cell r="N246">
            <v>322.67</v>
          </cell>
        </row>
        <row r="247">
          <cell r="A247">
            <v>46094</v>
          </cell>
          <cell r="H247" t="str">
            <v/>
          </cell>
          <cell r="N247">
            <v>0</v>
          </cell>
        </row>
        <row r="248">
          <cell r="A248">
            <v>46094</v>
          </cell>
          <cell r="H248" t="str">
            <v>AUTOPAY SPÓŁKA AKCYJNA UL.POWSTAŃCÓW WARSZAWY 6</v>
          </cell>
          <cell r="N248">
            <v>507.34</v>
          </cell>
        </row>
        <row r="249">
          <cell r="A249">
            <v>46094</v>
          </cell>
          <cell r="H249" t="str">
            <v/>
          </cell>
          <cell r="N249">
            <v>0</v>
          </cell>
        </row>
        <row r="250">
          <cell r="A250">
            <v>46094</v>
          </cell>
          <cell r="H250" t="str">
            <v/>
          </cell>
          <cell r="N250">
            <v>0</v>
          </cell>
        </row>
        <row r="251">
          <cell r="A251">
            <v>46094</v>
          </cell>
          <cell r="H251" t="str">
            <v/>
          </cell>
          <cell r="N251">
            <v>0</v>
          </cell>
        </row>
        <row r="252">
          <cell r="A252">
            <v>46094</v>
          </cell>
          <cell r="H252" t="str">
            <v>MARZENA SZYMAŃSKA SAMPŁAWA 40</v>
          </cell>
          <cell r="N252">
            <v>203.87</v>
          </cell>
        </row>
        <row r="253">
          <cell r="A253">
            <v>46093</v>
          </cell>
          <cell r="H253" t="str">
            <v>AUTOPAY SPÓŁKA AKCYJNA UL.POWSTAŃCÓW WARSZAWY 6</v>
          </cell>
          <cell r="N253">
            <v>1035.0899999999999</v>
          </cell>
        </row>
        <row r="254">
          <cell r="A254">
            <v>46093</v>
          </cell>
          <cell r="H254" t="str">
            <v>TRZEBIATOWSKA-MACIEJKO EWA</v>
          </cell>
          <cell r="N254">
            <v>284.44</v>
          </cell>
        </row>
        <row r="255">
          <cell r="A255">
            <v>46093</v>
          </cell>
          <cell r="H255" t="str">
            <v>RAFAŁ JANUSZ MATUKIEWICZ GEN. WARAKSIEWICZA 9</v>
          </cell>
          <cell r="N255">
            <v>235.6</v>
          </cell>
        </row>
        <row r="256">
          <cell r="A256">
            <v>46092</v>
          </cell>
          <cell r="H256" t="str">
            <v>AUTOPAY SPÓŁKA AKCYJNA UL.POWSTAŃCÓW WARSZAWY 6</v>
          </cell>
          <cell r="N256">
            <v>4774.8900000000003</v>
          </cell>
        </row>
        <row r="257">
          <cell r="A257">
            <v>46092</v>
          </cell>
          <cell r="H257" t="str">
            <v/>
          </cell>
          <cell r="N257">
            <v>0</v>
          </cell>
        </row>
        <row r="258">
          <cell r="A258">
            <v>46091</v>
          </cell>
          <cell r="H258" t="str">
            <v>ILONA TERESA PATURALSKA</v>
          </cell>
          <cell r="N258">
            <v>312.89</v>
          </cell>
        </row>
        <row r="259">
          <cell r="A259">
            <v>46091</v>
          </cell>
          <cell r="H259" t="str">
            <v xml:space="preserve">KOCHANOWSKA IWONA </v>
          </cell>
          <cell r="N259">
            <v>367.84</v>
          </cell>
        </row>
        <row r="260">
          <cell r="A260">
            <v>46091</v>
          </cell>
          <cell r="H260" t="str">
            <v>BOJANOWSKA ANETA LASECZNO MAŁE 79</v>
          </cell>
          <cell r="N260">
            <v>232</v>
          </cell>
        </row>
        <row r="261">
          <cell r="A261">
            <v>46091</v>
          </cell>
          <cell r="H261" t="str">
            <v>AUTOPAY SPÓŁKA AKCYJNA UL.POWSTAŃCÓW WARSZAWY 6</v>
          </cell>
          <cell r="N261">
            <v>429.78</v>
          </cell>
        </row>
        <row r="262">
          <cell r="A262">
            <v>46091</v>
          </cell>
          <cell r="H262" t="str">
            <v/>
          </cell>
          <cell r="N262">
            <v>0</v>
          </cell>
        </row>
        <row r="263">
          <cell r="A263">
            <v>46091</v>
          </cell>
          <cell r="H263" t="str">
            <v>LR HEALTH&amp;BEAUTY SYSTEMS SP. Z O O.</v>
          </cell>
          <cell r="N263">
            <v>2876.87</v>
          </cell>
        </row>
        <row r="264">
          <cell r="A264">
            <v>46090</v>
          </cell>
          <cell r="H264" t="str">
            <v>AUTOPAY SPÓŁKA AKCYJNA UL.POWSTAŃCÓW WARSZAWY 6</v>
          </cell>
          <cell r="N264">
            <v>718.42</v>
          </cell>
        </row>
        <row r="265">
          <cell r="A265">
            <v>46090</v>
          </cell>
          <cell r="H265" t="str">
            <v>LUBIENIECKA M I LUBIENIECKI M UL. KOLOROWA 17</v>
          </cell>
          <cell r="N265">
            <v>235.6</v>
          </cell>
        </row>
        <row r="266">
          <cell r="A266">
            <v>46087</v>
          </cell>
          <cell r="H266" t="str">
            <v>AUTOPAY SPÓŁKA AKCYJNA UL.POWSTAŃCÓW WARSZAWY 6</v>
          </cell>
          <cell r="N266">
            <v>536.4</v>
          </cell>
        </row>
        <row r="267">
          <cell r="A267">
            <v>46087</v>
          </cell>
          <cell r="H267" t="str">
            <v>KOPERA MARTA KOPERA MARCIN</v>
          </cell>
          <cell r="N267">
            <v>220</v>
          </cell>
        </row>
        <row r="268">
          <cell r="A268">
            <v>46086</v>
          </cell>
          <cell r="H268" t="str">
            <v>AUTOPAY SPÓŁKA AKCYJNA UL.POWSTAŃCÓW WARSZAWY 6</v>
          </cell>
          <cell r="N268">
            <v>452.57</v>
          </cell>
        </row>
        <row r="269">
          <cell r="A269">
            <v>46086</v>
          </cell>
          <cell r="H269" t="str">
            <v>MAREK KLIMIK PIASTOWSKA 6/38 6/38</v>
          </cell>
          <cell r="N269">
            <v>367.84</v>
          </cell>
        </row>
        <row r="270">
          <cell r="A270">
            <v>46085</v>
          </cell>
          <cell r="H270" t="str">
            <v>GABINET PSYCHOTERAPII UZALEŻNIEŃ I WSPÓŁUZALEŻNIENIA EWA KACPERSKA</v>
          </cell>
          <cell r="N270">
            <v>191.91</v>
          </cell>
        </row>
        <row r="271">
          <cell r="A271">
            <v>46085</v>
          </cell>
          <cell r="H271" t="str">
            <v>WALDEMAR KLIMIK</v>
          </cell>
          <cell r="N271">
            <v>224.96</v>
          </cell>
        </row>
        <row r="272">
          <cell r="A272">
            <v>46085</v>
          </cell>
          <cell r="H272" t="str">
            <v>WALDEMAR KLIMIK</v>
          </cell>
          <cell r="N272">
            <v>220.4</v>
          </cell>
        </row>
        <row r="273">
          <cell r="A273">
            <v>46084</v>
          </cell>
          <cell r="H273" t="str">
            <v>EMILIA MARIA PIECUCH</v>
          </cell>
          <cell r="N273">
            <v>243.2</v>
          </cell>
        </row>
        <row r="274">
          <cell r="A274">
            <v>46084</v>
          </cell>
          <cell r="H274" t="str">
            <v>AUTOPAY SPÓŁKA AKCYJNA UL.POWSTAŃCÓW WARSZAWY 6</v>
          </cell>
          <cell r="N274">
            <v>540.89</v>
          </cell>
        </row>
        <row r="275">
          <cell r="A275">
            <v>46084</v>
          </cell>
          <cell r="H275" t="str">
            <v/>
          </cell>
          <cell r="N275">
            <v>0</v>
          </cell>
        </row>
        <row r="276">
          <cell r="A276">
            <v>46083</v>
          </cell>
          <cell r="H276" t="str">
            <v>TOMASZ TYC</v>
          </cell>
          <cell r="N276">
            <v>208.8</v>
          </cell>
        </row>
        <row r="277">
          <cell r="A277">
            <v>46083</v>
          </cell>
          <cell r="H277" t="str">
            <v>AUTOPAY SPÓŁKA AKCYJNA UL.POWSTAŃCÓW WARSZAWY 6</v>
          </cell>
          <cell r="N277">
            <v>1530.98</v>
          </cell>
        </row>
        <row r="278">
          <cell r="A278">
            <v>46083</v>
          </cell>
          <cell r="H278" t="str">
            <v>ANIMEX FOODS SP. Z O.O. CHALUBINSKIEGO 8</v>
          </cell>
          <cell r="N278">
            <v>804</v>
          </cell>
        </row>
        <row r="279">
          <cell r="A279">
            <v>46083</v>
          </cell>
          <cell r="H279" t="str">
            <v>AUTOPAY SPÓŁKA AKCYJNA UL.POWSTAŃCÓW WARSZAWY 6</v>
          </cell>
          <cell r="N279">
            <v>441.36</v>
          </cell>
        </row>
        <row r="280">
          <cell r="A280">
            <v>46083</v>
          </cell>
          <cell r="H280" t="str">
            <v>AUTOPAY SPÓŁKA AKCYJNA UL.POWSTAŃCÓW WARSZAWY 6</v>
          </cell>
          <cell r="N280">
            <v>861.39</v>
          </cell>
        </row>
        <row r="281">
          <cell r="A281">
            <v>46083</v>
          </cell>
          <cell r="H281" t="str">
            <v>MARTA KUŹNIEWSKA KSIĘŻNEJ DOBRAWY 21 A</v>
          </cell>
          <cell r="N281">
            <v>232</v>
          </cell>
        </row>
        <row r="282">
          <cell r="A282">
            <v>46083</v>
          </cell>
          <cell r="H282" t="str">
            <v>MONIKA SZEFLER OBROŃCÓW WESTERPLATTE 2/11</v>
          </cell>
          <cell r="N282">
            <v>208.8</v>
          </cell>
        </row>
        <row r="283">
          <cell r="A283">
            <v>46083</v>
          </cell>
          <cell r="H283" t="str">
            <v>ŁUKASZ NOWAK</v>
          </cell>
          <cell r="N283">
            <v>291.56</v>
          </cell>
        </row>
        <row r="284">
          <cell r="A284">
            <v>46083</v>
          </cell>
          <cell r="H284" t="str">
            <v>ŁUKASZ NOWAK</v>
          </cell>
          <cell r="N284">
            <v>283.56</v>
          </cell>
        </row>
        <row r="285">
          <cell r="A285">
            <v>46083</v>
          </cell>
          <cell r="H285" t="str">
            <v/>
          </cell>
          <cell r="N285">
            <v>0</v>
          </cell>
        </row>
        <row r="286">
          <cell r="A286">
            <v>46080</v>
          </cell>
          <cell r="H286" t="str">
            <v/>
          </cell>
          <cell r="N286">
            <v>0</v>
          </cell>
        </row>
        <row r="287">
          <cell r="A287">
            <v>46080</v>
          </cell>
          <cell r="H287" t="str">
            <v/>
          </cell>
          <cell r="N287">
            <v>0</v>
          </cell>
        </row>
        <row r="288">
          <cell r="A288">
            <v>46080</v>
          </cell>
          <cell r="H288" t="str">
            <v/>
          </cell>
          <cell r="N288">
            <v>0</v>
          </cell>
        </row>
        <row r="289">
          <cell r="A289">
            <v>46080</v>
          </cell>
          <cell r="H289" t="str">
            <v/>
          </cell>
          <cell r="N289">
            <v>0</v>
          </cell>
        </row>
        <row r="290">
          <cell r="A290">
            <v>46080</v>
          </cell>
          <cell r="H290" t="str">
            <v/>
          </cell>
          <cell r="N290">
            <v>0</v>
          </cell>
        </row>
        <row r="291">
          <cell r="A291">
            <v>46080</v>
          </cell>
          <cell r="H291" t="str">
            <v/>
          </cell>
          <cell r="N291">
            <v>0</v>
          </cell>
        </row>
        <row r="292">
          <cell r="A292">
            <v>46080</v>
          </cell>
          <cell r="H292" t="str">
            <v/>
          </cell>
          <cell r="N292">
            <v>0</v>
          </cell>
        </row>
        <row r="293">
          <cell r="A293">
            <v>46080</v>
          </cell>
          <cell r="H293" t="str">
            <v/>
          </cell>
          <cell r="N293">
            <v>0</v>
          </cell>
        </row>
        <row r="294">
          <cell r="A294">
            <v>46079</v>
          </cell>
          <cell r="H294" t="str">
            <v/>
          </cell>
          <cell r="N294">
            <v>0</v>
          </cell>
        </row>
        <row r="295">
          <cell r="A295">
            <v>46079</v>
          </cell>
          <cell r="H295" t="str">
            <v/>
          </cell>
          <cell r="N295">
            <v>0</v>
          </cell>
        </row>
        <row r="296">
          <cell r="A296">
            <v>46079</v>
          </cell>
          <cell r="H296" t="str">
            <v>AUTOPAY SPÓŁKA AKCYJNA UL.POWSTAŃCÓW WARSZAWY 6</v>
          </cell>
          <cell r="N296">
            <v>511.55</v>
          </cell>
        </row>
        <row r="297">
          <cell r="A297">
            <v>46079</v>
          </cell>
          <cell r="H297" t="str">
            <v>JOANNA MAŁGORZATA WIĘCZKOWSKA WYSZYŃSKIEGO 37A M 40</v>
          </cell>
          <cell r="N297">
            <v>190.91</v>
          </cell>
        </row>
        <row r="298">
          <cell r="A298">
            <v>46079</v>
          </cell>
          <cell r="H298" t="str">
            <v>HANNA MARIA GAMALSKA</v>
          </cell>
          <cell r="N298">
            <v>445.36</v>
          </cell>
        </row>
        <row r="299">
          <cell r="A299">
            <v>46078</v>
          </cell>
          <cell r="H299" t="str">
            <v>WRÓBEL MAŁGORZATA</v>
          </cell>
          <cell r="N299">
            <v>300</v>
          </cell>
        </row>
        <row r="300">
          <cell r="A300">
            <v>46077</v>
          </cell>
          <cell r="H300" t="str">
            <v>AUTOPAY SPÓŁKA AKCYJNA UL. POWSTAŃC ÓW WARSZAWY 6 81-718 SOPOT PL</v>
          </cell>
          <cell r="N300">
            <v>196.86</v>
          </cell>
        </row>
        <row r="301">
          <cell r="A301">
            <v>46077</v>
          </cell>
          <cell r="H301" t="str">
            <v>WIOLETTA BORUCKA</v>
          </cell>
          <cell r="N301">
            <v>232</v>
          </cell>
        </row>
        <row r="302">
          <cell r="A302">
            <v>46076</v>
          </cell>
          <cell r="H302" t="str">
            <v>Agnieszka Szymańska</v>
          </cell>
          <cell r="N302">
            <v>244.89</v>
          </cell>
        </row>
        <row r="303">
          <cell r="A303">
            <v>46076</v>
          </cell>
          <cell r="H303" t="str">
            <v>AUTOPAY SPÓŁKA AKCYJNA UL.POWSTAŃCÓW WARSZAWY 6</v>
          </cell>
          <cell r="N303">
            <v>241.2</v>
          </cell>
        </row>
        <row r="304">
          <cell r="A304">
            <v>46076</v>
          </cell>
          <cell r="H304" t="str">
            <v>BAJOR MICHAŁ</v>
          </cell>
          <cell r="N304">
            <v>350.9</v>
          </cell>
        </row>
        <row r="305">
          <cell r="A305">
            <v>46076</v>
          </cell>
          <cell r="H305" t="str">
            <v>ŁUKASZEWSKA SYLWIA</v>
          </cell>
          <cell r="N305">
            <v>300.02</v>
          </cell>
        </row>
        <row r="306">
          <cell r="A306">
            <v>46076</v>
          </cell>
          <cell r="H306" t="str">
            <v>ANETA ELŻBIETA NAWORSKA</v>
          </cell>
          <cell r="N306">
            <v>307.2</v>
          </cell>
        </row>
        <row r="307">
          <cell r="A307">
            <v>46073</v>
          </cell>
          <cell r="H307" t="str">
            <v/>
          </cell>
          <cell r="N307">
            <v>0</v>
          </cell>
        </row>
        <row r="308">
          <cell r="A308">
            <v>46073</v>
          </cell>
          <cell r="H308" t="str">
            <v/>
          </cell>
          <cell r="N308">
            <v>0</v>
          </cell>
        </row>
        <row r="309">
          <cell r="A309">
            <v>46073</v>
          </cell>
          <cell r="H309" t="str">
            <v/>
          </cell>
          <cell r="N309">
            <v>0</v>
          </cell>
        </row>
        <row r="310">
          <cell r="A310">
            <v>46073</v>
          </cell>
          <cell r="H310" t="str">
            <v/>
          </cell>
          <cell r="N310">
            <v>0</v>
          </cell>
        </row>
        <row r="311">
          <cell r="A311">
            <v>46073</v>
          </cell>
          <cell r="H311" t="str">
            <v/>
          </cell>
          <cell r="N311">
            <v>0</v>
          </cell>
        </row>
        <row r="312">
          <cell r="A312">
            <v>46072</v>
          </cell>
          <cell r="H312" t="str">
            <v/>
          </cell>
          <cell r="N312">
            <v>0</v>
          </cell>
        </row>
        <row r="313">
          <cell r="A313">
            <v>46072</v>
          </cell>
          <cell r="H313" t="str">
            <v>AUTOPAY SPÓŁKA AKCYJNA UL. POWSTAŃC ÓW WARSZAWY 6 81-718 SOPOT</v>
          </cell>
          <cell r="N313">
            <v>438.8</v>
          </cell>
        </row>
        <row r="314">
          <cell r="A314">
            <v>46071</v>
          </cell>
          <cell r="H314" t="str">
            <v>MAGDALENA BŁASZKOWSKA</v>
          </cell>
          <cell r="N314">
            <v>243.2</v>
          </cell>
        </row>
        <row r="315">
          <cell r="A315">
            <v>46071</v>
          </cell>
          <cell r="H315" t="str">
            <v>WRÓBEL MAŁGORZATA</v>
          </cell>
          <cell r="N315">
            <v>213.33</v>
          </cell>
        </row>
        <row r="316">
          <cell r="A316">
            <v>46071</v>
          </cell>
          <cell r="H316" t="str">
            <v>AUTOPAY SPÓŁKA AKCYJNA UL. POWSTAŃC ÓW WARSZAWY 6 81-718 SOPOT</v>
          </cell>
          <cell r="N316">
            <v>428.22</v>
          </cell>
        </row>
        <row r="317">
          <cell r="A317">
            <v>46070</v>
          </cell>
          <cell r="H317" t="str">
            <v>ENERGA OBRÓT SPÓŁKA AKCYJNA</v>
          </cell>
          <cell r="N317">
            <v>3223.44</v>
          </cell>
        </row>
        <row r="318">
          <cell r="A318">
            <v>46070</v>
          </cell>
          <cell r="H318" t="str">
            <v>AUTOPAY SPÓŁKA AKCYJNA UL.POWSTAŃCÓW WARSZAWY 6</v>
          </cell>
          <cell r="N318">
            <v>218.4</v>
          </cell>
        </row>
        <row r="319">
          <cell r="A319">
            <v>46069</v>
          </cell>
          <cell r="H319" t="str">
            <v>MARZENA SZYMAŃSKA SAMPŁAWA 40</v>
          </cell>
          <cell r="N319">
            <v>203.87</v>
          </cell>
        </row>
        <row r="320">
          <cell r="A320">
            <v>46069</v>
          </cell>
          <cell r="H320" t="str">
            <v>AUTOPAY SPÓŁKA AKCYJNA UL.POWSTAŃCÓW WARSZAWY 6</v>
          </cell>
          <cell r="N320">
            <v>1405.84</v>
          </cell>
        </row>
        <row r="321">
          <cell r="A321">
            <v>46069</v>
          </cell>
          <cell r="H321" t="str">
            <v>AUTOPAY SPÓŁKA AKCYJNA UL.POWSTAŃCÓW WARSZAWY 6</v>
          </cell>
          <cell r="N321">
            <v>386.6</v>
          </cell>
        </row>
        <row r="322">
          <cell r="A322">
            <v>46069</v>
          </cell>
          <cell r="H322" t="str">
            <v>MONIKA A MARASZEK UL. NIEPODLEGŁOŚC I 4 82-550 PRABUTY MONIKA A MARASZE</v>
          </cell>
          <cell r="N322">
            <v>319</v>
          </cell>
        </row>
        <row r="323">
          <cell r="A323">
            <v>46069</v>
          </cell>
          <cell r="H323" t="str">
            <v>ŁUKASZ MARCIN TARCHANOW</v>
          </cell>
          <cell r="N323">
            <v>322.67</v>
          </cell>
        </row>
        <row r="324">
          <cell r="A324">
            <v>46069</v>
          </cell>
          <cell r="H324" t="str">
            <v>PATRYCJA KAMILA MACIEJEWSKA</v>
          </cell>
          <cell r="N324">
            <v>497.71</v>
          </cell>
        </row>
        <row r="325">
          <cell r="A325">
            <v>46068</v>
          </cell>
          <cell r="H325" t="str">
            <v>BEATA MARIA KUHNWALD</v>
          </cell>
          <cell r="N325">
            <v>224.96</v>
          </cell>
        </row>
        <row r="326">
          <cell r="A326">
            <v>46066</v>
          </cell>
          <cell r="H326" t="str">
            <v>AUTOPAY SPÓŁKA AKCYJNA UL.POWSTAŃCÓW WARSZAWY 6</v>
          </cell>
          <cell r="N326">
            <v>295.24</v>
          </cell>
        </row>
        <row r="327">
          <cell r="A327">
            <v>46066</v>
          </cell>
          <cell r="H327" t="str">
            <v>TRZEBIATOWSKA-MACIEJKO EWA</v>
          </cell>
          <cell r="N327">
            <v>284.44</v>
          </cell>
        </row>
        <row r="328">
          <cell r="A328">
            <v>46065</v>
          </cell>
          <cell r="H328" t="str">
            <v>RAFAŁ JANUSZ MATUKIEWICZ GEN. WARAKSIEWICZA 9</v>
          </cell>
          <cell r="N328">
            <v>235.6</v>
          </cell>
        </row>
        <row r="329">
          <cell r="A329">
            <v>46065</v>
          </cell>
          <cell r="H329" t="str">
            <v>AUTOPAY SPÓŁKA AKCYJNA UL.POWSTAŃCÓW WARSZAWY 6</v>
          </cell>
          <cell r="N329">
            <v>911.2</v>
          </cell>
        </row>
        <row r="330">
          <cell r="A330">
            <v>46064</v>
          </cell>
          <cell r="H330" t="str">
            <v>AUTOPAY SPÓŁKA AKCYJNA UL.POWSTAŃCÓW WARSZAWY 6</v>
          </cell>
          <cell r="N330">
            <v>3036.2</v>
          </cell>
        </row>
        <row r="331">
          <cell r="A331">
            <v>46063</v>
          </cell>
          <cell r="H331" t="str">
            <v>GABINET PSYCHOTERAPII UZALEŻNIEŃ I WSPÓŁUZALEŻNIENIA EWA KACPERSKA</v>
          </cell>
          <cell r="N331">
            <v>191.91</v>
          </cell>
        </row>
        <row r="332">
          <cell r="A332">
            <v>46063</v>
          </cell>
          <cell r="H332" t="str">
            <v>TOMASZ JERZY ROSIŃSKI</v>
          </cell>
          <cell r="N332">
            <v>235.6</v>
          </cell>
        </row>
        <row r="333">
          <cell r="A333">
            <v>46063</v>
          </cell>
          <cell r="H333" t="str">
            <v>AUTOPAY SPÓŁKA AKCYJNA UL.POWSTAŃCÓW WARSZAWY 6</v>
          </cell>
          <cell r="N333">
            <v>691.32</v>
          </cell>
        </row>
        <row r="334">
          <cell r="A334">
            <v>46063</v>
          </cell>
          <cell r="H334" t="str">
            <v xml:space="preserve">KOCHANOWSKA IWONA </v>
          </cell>
          <cell r="N334">
            <v>367.84</v>
          </cell>
        </row>
        <row r="335">
          <cell r="A335">
            <v>46063</v>
          </cell>
          <cell r="H335" t="str">
            <v>BOJANOWSKA ANETA LASECZNO MAŁE 79</v>
          </cell>
          <cell r="N335">
            <v>232</v>
          </cell>
        </row>
        <row r="336">
          <cell r="A336">
            <v>46063</v>
          </cell>
          <cell r="H336" t="str">
            <v>LR HEALTH&amp;BEAUTY SYSTEMS SP. Z O O.</v>
          </cell>
          <cell r="N336">
            <v>5186.8100000000004</v>
          </cell>
        </row>
        <row r="337">
          <cell r="A337">
            <v>46063</v>
          </cell>
          <cell r="H337" t="str">
            <v/>
          </cell>
          <cell r="N337">
            <v>0</v>
          </cell>
        </row>
        <row r="338">
          <cell r="A338">
            <v>46062</v>
          </cell>
          <cell r="H338" t="str">
            <v>ILONA TERESA PATURALSKA</v>
          </cell>
          <cell r="N338">
            <v>312.89</v>
          </cell>
        </row>
        <row r="339">
          <cell r="A339">
            <v>46062</v>
          </cell>
          <cell r="H339" t="str">
            <v>LUBIENIECKA M I LUBIENIECKI M UL. KOLOROWA 17</v>
          </cell>
          <cell r="N339">
            <v>235.6</v>
          </cell>
        </row>
        <row r="340">
          <cell r="A340">
            <v>46062</v>
          </cell>
          <cell r="H340" t="str">
            <v>AUTOPAY SPÓŁKA AKCYJNA UL.POWSTAŃCÓW WARSZAWY 6</v>
          </cell>
          <cell r="N340">
            <v>516.89</v>
          </cell>
        </row>
        <row r="341">
          <cell r="A341">
            <v>46062</v>
          </cell>
          <cell r="H341" t="str">
            <v>AUTOPAY SPÓŁKA AKCYJNA UL.POWSTAŃCÓW WARSZAWY 6</v>
          </cell>
          <cell r="N341">
            <v>718.42</v>
          </cell>
        </row>
        <row r="342">
          <cell r="A342">
            <v>46062</v>
          </cell>
          <cell r="H342" t="str">
            <v>AUTOPAY SPÓŁKA AKCYJNA UL.POWSTAŃCÓW WARSZAWY 6</v>
          </cell>
          <cell r="N342">
            <v>661</v>
          </cell>
        </row>
        <row r="343">
          <cell r="A343">
            <v>46062</v>
          </cell>
          <cell r="H343" t="str">
            <v/>
          </cell>
          <cell r="N343">
            <v>0</v>
          </cell>
        </row>
        <row r="344">
          <cell r="A344">
            <v>46062</v>
          </cell>
          <cell r="H344" t="str">
            <v/>
          </cell>
          <cell r="N344">
            <v>0</v>
          </cell>
        </row>
        <row r="345">
          <cell r="A345">
            <v>46059</v>
          </cell>
          <cell r="H345" t="str">
            <v>AUTOPAY SPÓŁKA AKCYJNA UL.POWSTAŃCÓW WARSZAWY 6</v>
          </cell>
          <cell r="N345">
            <v>597.6</v>
          </cell>
        </row>
        <row r="346">
          <cell r="A346">
            <v>46057</v>
          </cell>
          <cell r="H346" t="str">
            <v>AUTOPAY SPÓŁKA AKCYJNA UL.POWSTAŃCÓW WARSZAWY 6</v>
          </cell>
          <cell r="N346">
            <v>429.78</v>
          </cell>
        </row>
        <row r="347">
          <cell r="A347">
            <v>46057</v>
          </cell>
          <cell r="H347" t="str">
            <v/>
          </cell>
          <cell r="N347">
            <v>0</v>
          </cell>
        </row>
        <row r="348">
          <cell r="A348">
            <v>46056</v>
          </cell>
          <cell r="H348" t="str">
            <v>EMILIA MARIA PIECUCH</v>
          </cell>
          <cell r="N348">
            <v>243.2</v>
          </cell>
        </row>
        <row r="349">
          <cell r="A349">
            <v>46056</v>
          </cell>
          <cell r="H349" t="str">
            <v>DOROTA ANNA UMIŃSKA</v>
          </cell>
          <cell r="N349">
            <v>248</v>
          </cell>
        </row>
        <row r="350">
          <cell r="A350">
            <v>46056</v>
          </cell>
          <cell r="H350" t="str">
            <v>AUTOPAY SPÓŁKA AKCYJNA UL.POWSTAŃCÓW WARSZAWY 6</v>
          </cell>
          <cell r="N350">
            <v>1468.89</v>
          </cell>
        </row>
        <row r="351">
          <cell r="A351">
            <v>46056</v>
          </cell>
          <cell r="H351" t="str">
            <v>MAŁKIEWICZ AGNIESZKA WIELKI GŁĘBOCZ EK 4 87-313 WIELKI GŁĘBOCZEK</v>
          </cell>
          <cell r="N351">
            <v>220.4</v>
          </cell>
        </row>
        <row r="352">
          <cell r="A352">
            <v>46055</v>
          </cell>
          <cell r="H352" t="str">
            <v>KINGA ZIELIŃSKA</v>
          </cell>
          <cell r="N352">
            <v>244.89</v>
          </cell>
        </row>
        <row r="353">
          <cell r="A353">
            <v>46055</v>
          </cell>
          <cell r="H353" t="str">
            <v>AUTOPAY SPÓŁKA AKCYJNA UL.POWSTAŃCÓW WARSZAWY 6</v>
          </cell>
          <cell r="N353">
            <v>682.57</v>
          </cell>
        </row>
        <row r="354">
          <cell r="A354">
            <v>46055</v>
          </cell>
          <cell r="H354" t="str">
            <v>AUTOPAY SPÓŁKA AKCYJNA UL.POWSTAŃCÓW WARSZAWY 6</v>
          </cell>
          <cell r="N354">
            <v>1040.25</v>
          </cell>
        </row>
        <row r="355">
          <cell r="A355">
            <v>46055</v>
          </cell>
          <cell r="H355" t="str">
            <v>AUTOPAY SPÓŁKA AKCYJNA UL.POWSTAŃCÓW WARSZAWY 6</v>
          </cell>
          <cell r="N355">
            <v>978.89</v>
          </cell>
        </row>
        <row r="356">
          <cell r="A356">
            <v>46055</v>
          </cell>
          <cell r="H356" t="str">
            <v/>
          </cell>
          <cell r="N356">
            <v>0</v>
          </cell>
        </row>
        <row r="357">
          <cell r="A357">
            <v>46055</v>
          </cell>
          <cell r="H357" t="str">
            <v/>
          </cell>
          <cell r="N357">
            <v>0</v>
          </cell>
        </row>
        <row r="358">
          <cell r="A358">
            <v>46055</v>
          </cell>
          <cell r="H358" t="str">
            <v/>
          </cell>
          <cell r="N358">
            <v>0</v>
          </cell>
        </row>
        <row r="359">
          <cell r="A359">
            <v>46055</v>
          </cell>
          <cell r="H359" t="str">
            <v>ŁUKASZ NOWAK</v>
          </cell>
          <cell r="N359">
            <v>291.56</v>
          </cell>
        </row>
        <row r="360">
          <cell r="A360">
            <v>46055</v>
          </cell>
          <cell r="H360" t="str">
            <v>ŁUKASZ NOWAK</v>
          </cell>
          <cell r="N360">
            <v>283.56</v>
          </cell>
        </row>
        <row r="361">
          <cell r="A361">
            <v>46055</v>
          </cell>
          <cell r="H361" t="str">
            <v>MARTA KUŹNIEWSKA KSIĘŻNEJ DOBRAWY 21 A</v>
          </cell>
          <cell r="N361">
            <v>232</v>
          </cell>
        </row>
        <row r="362">
          <cell r="A362">
            <v>46055</v>
          </cell>
          <cell r="H362" t="str">
            <v>TOMASZ TYC</v>
          </cell>
          <cell r="N362">
            <v>208.8</v>
          </cell>
        </row>
        <row r="363">
          <cell r="A363">
            <v>46055</v>
          </cell>
          <cell r="H363" t="str">
            <v>MAREK KLIMIK PIASTOWSKA 6/38</v>
          </cell>
          <cell r="N363">
            <v>367.84</v>
          </cell>
        </row>
        <row r="364">
          <cell r="A364">
            <v>46055</v>
          </cell>
          <cell r="H364" t="str">
            <v>MONIKA SZEFLER OBROŃCÓW WESTERPLATTE 2/11</v>
          </cell>
          <cell r="N364">
            <v>208.8</v>
          </cell>
        </row>
        <row r="365">
          <cell r="A365">
            <v>46055</v>
          </cell>
          <cell r="H365" t="str">
            <v>WALDEMAR KLIMIK</v>
          </cell>
          <cell r="N365">
            <v>224.96</v>
          </cell>
        </row>
        <row r="366">
          <cell r="A366">
            <v>46055</v>
          </cell>
          <cell r="H366" t="str">
            <v>WALDEMAR KLIMIK</v>
          </cell>
          <cell r="N366">
            <v>220.4</v>
          </cell>
        </row>
        <row r="367">
          <cell r="A367">
            <v>46054</v>
          </cell>
          <cell r="H367" t="str">
            <v>ANNA WARMIŃSKA</v>
          </cell>
          <cell r="N367">
            <v>220.4</v>
          </cell>
        </row>
        <row r="368">
          <cell r="A368">
            <v>46052</v>
          </cell>
          <cell r="H368" t="str">
            <v/>
          </cell>
          <cell r="N368">
            <v>0</v>
          </cell>
        </row>
        <row r="369">
          <cell r="A369">
            <v>46052</v>
          </cell>
          <cell r="H369" t="str">
            <v/>
          </cell>
          <cell r="N369">
            <v>0</v>
          </cell>
        </row>
        <row r="370">
          <cell r="A370">
            <v>46052</v>
          </cell>
          <cell r="H370" t="str">
            <v/>
          </cell>
          <cell r="N370">
            <v>0</v>
          </cell>
        </row>
        <row r="371">
          <cell r="A371">
            <v>46052</v>
          </cell>
          <cell r="H371" t="str">
            <v/>
          </cell>
          <cell r="N371">
            <v>0</v>
          </cell>
        </row>
        <row r="372">
          <cell r="A372">
            <v>46052</v>
          </cell>
          <cell r="H372" t="str">
            <v/>
          </cell>
          <cell r="N372">
            <v>0</v>
          </cell>
        </row>
        <row r="373">
          <cell r="A373">
            <v>46052</v>
          </cell>
          <cell r="H373" t="str">
            <v/>
          </cell>
          <cell r="N373">
            <v>0</v>
          </cell>
        </row>
        <row r="374">
          <cell r="A374">
            <v>46052</v>
          </cell>
          <cell r="H374" t="str">
            <v/>
          </cell>
          <cell r="N374">
            <v>0</v>
          </cell>
        </row>
        <row r="375">
          <cell r="A375">
            <v>46051</v>
          </cell>
          <cell r="H375" t="str">
            <v>AUTOPAY SPÓŁKA AKCYJNA UL.POWSTAŃCÓW WARSZAWY 6</v>
          </cell>
          <cell r="N375">
            <v>241.2</v>
          </cell>
        </row>
        <row r="376">
          <cell r="A376">
            <v>46051</v>
          </cell>
          <cell r="H376" t="str">
            <v>ANIMEX FOODS SP. Z O.O. CHALUBINSKIEGO 8</v>
          </cell>
          <cell r="N376">
            <v>1340</v>
          </cell>
        </row>
        <row r="377">
          <cell r="A377">
            <v>46049</v>
          </cell>
          <cell r="H377" t="str">
            <v>PATRYCJA KAMILA MACIEJEWSKA</v>
          </cell>
          <cell r="N377">
            <v>497.71</v>
          </cell>
        </row>
        <row r="378">
          <cell r="A378">
            <v>46049</v>
          </cell>
          <cell r="H378" t="str">
            <v>AUTOPAY SPÓŁKA AKCYJNA UL.POWSTAŃCÓW WARSZAWY 6</v>
          </cell>
          <cell r="N378">
            <v>230</v>
          </cell>
        </row>
        <row r="379">
          <cell r="A379">
            <v>46049</v>
          </cell>
          <cell r="H379" t="str">
            <v/>
          </cell>
          <cell r="N379">
            <v>0</v>
          </cell>
        </row>
        <row r="380">
          <cell r="A380">
            <v>46049</v>
          </cell>
          <cell r="H380" t="str">
            <v/>
          </cell>
          <cell r="N380">
            <v>0</v>
          </cell>
        </row>
        <row r="381">
          <cell r="A381">
            <v>46049</v>
          </cell>
          <cell r="H381" t="str">
            <v>JOANNA MAŁGORZATA WIĘCZKOWSKA WYSZYŃSKIEGO 37A M 40</v>
          </cell>
          <cell r="N381">
            <v>190.91</v>
          </cell>
        </row>
        <row r="382">
          <cell r="A382">
            <v>46049</v>
          </cell>
          <cell r="H382" t="str">
            <v/>
          </cell>
          <cell r="N382">
            <v>0</v>
          </cell>
        </row>
        <row r="383">
          <cell r="A383">
            <v>46048</v>
          </cell>
          <cell r="H383" t="str">
            <v/>
          </cell>
          <cell r="N383">
            <v>0</v>
          </cell>
        </row>
        <row r="384">
          <cell r="A384">
            <v>46048</v>
          </cell>
          <cell r="H384" t="str">
            <v/>
          </cell>
          <cell r="N384">
            <v>0</v>
          </cell>
        </row>
        <row r="385">
          <cell r="A385">
            <v>46048</v>
          </cell>
          <cell r="H385" t="str">
            <v/>
          </cell>
          <cell r="N385">
            <v>0</v>
          </cell>
        </row>
        <row r="386">
          <cell r="A386">
            <v>46048</v>
          </cell>
          <cell r="H386" t="str">
            <v/>
          </cell>
          <cell r="N386">
            <v>0</v>
          </cell>
        </row>
        <row r="387">
          <cell r="A387">
            <v>46048</v>
          </cell>
          <cell r="H387" t="str">
            <v>BARTON POLSKA SPÓŁKA Z OGRANICZONĄ ODPOWIEDZIALNOŚCIĄ</v>
          </cell>
          <cell r="N387">
            <v>4800</v>
          </cell>
        </row>
        <row r="388">
          <cell r="A388">
            <v>46048</v>
          </cell>
          <cell r="H388" t="str">
            <v>AUTOPAY SPÓŁKA AKCYJNA UL.POWSTAŃCÓW WARSZAWY 6</v>
          </cell>
          <cell r="N388">
            <v>1487.56</v>
          </cell>
        </row>
        <row r="389">
          <cell r="A389">
            <v>46048</v>
          </cell>
          <cell r="H389" t="str">
            <v>ANETA ELŻBIETA NAWORSKA</v>
          </cell>
          <cell r="N389">
            <v>307.2</v>
          </cell>
        </row>
        <row r="390">
          <cell r="A390">
            <v>46046</v>
          </cell>
          <cell r="H390" t="str">
            <v>HANNA MARIA GAMALSKA</v>
          </cell>
          <cell r="N390">
            <v>445.36</v>
          </cell>
        </row>
        <row r="391">
          <cell r="A391">
            <v>46046</v>
          </cell>
          <cell r="H391" t="str">
            <v>WIOLETTA BORUCKA</v>
          </cell>
          <cell r="N391">
            <v>232</v>
          </cell>
        </row>
        <row r="392">
          <cell r="A392">
            <v>46045</v>
          </cell>
          <cell r="H392" t="str">
            <v>AUTOPAY SPÓŁKA AKCYJNA UL.POWSTAŃCÓW WARSZAWY 6</v>
          </cell>
          <cell r="N392">
            <v>196.86</v>
          </cell>
        </row>
        <row r="393">
          <cell r="A393">
            <v>46044</v>
          </cell>
          <cell r="H393" t="str">
            <v>WOJCIECH ROSZAK OGRODOWA 9</v>
          </cell>
          <cell r="N393">
            <v>243.2</v>
          </cell>
        </row>
        <row r="394">
          <cell r="A394">
            <v>46043</v>
          </cell>
          <cell r="H394" t="str">
            <v/>
          </cell>
          <cell r="N394">
            <v>0</v>
          </cell>
        </row>
        <row r="395">
          <cell r="A395">
            <v>46043</v>
          </cell>
          <cell r="H395" t="str">
            <v>AUTOPAY SPÓŁKA AKCYJNA UL. POWSTAŃC ÓW WARSZAWY 6 81-718 SOPOT</v>
          </cell>
          <cell r="N395">
            <v>488.66</v>
          </cell>
        </row>
        <row r="396">
          <cell r="A396">
            <v>46043</v>
          </cell>
          <cell r="H396" t="str">
            <v>BAJOR MICHAŁ</v>
          </cell>
          <cell r="N396">
            <v>350.9</v>
          </cell>
        </row>
        <row r="397">
          <cell r="A397">
            <v>46043</v>
          </cell>
          <cell r="H397" t="str">
            <v>MONIKA A MARASZEK UL. NIEPODLEGŁOŚC I 4 82-550 PRABUTY MONIKA A MARASZE</v>
          </cell>
          <cell r="N397">
            <v>319</v>
          </cell>
        </row>
        <row r="398">
          <cell r="A398">
            <v>46042</v>
          </cell>
          <cell r="H398" t="str">
            <v>ŁUKASZEWSKA SYLWIA</v>
          </cell>
          <cell r="N398">
            <v>300.02</v>
          </cell>
        </row>
        <row r="399">
          <cell r="A399">
            <v>46041</v>
          </cell>
          <cell r="H399" t="str">
            <v>AUTOPAY SPÓŁKA AKCYJNA UL.POWSTAŃCÓW WARSZAWY 6</v>
          </cell>
          <cell r="N399">
            <v>739.85</v>
          </cell>
        </row>
        <row r="400">
          <cell r="A400">
            <v>46041</v>
          </cell>
          <cell r="H400" t="str">
            <v>AUTOPAY SPÓŁKA AKCYJNA UL.POWSTAŃCÓW WARSZAWY 6</v>
          </cell>
          <cell r="N400">
            <v>218.4</v>
          </cell>
        </row>
        <row r="401">
          <cell r="A401">
            <v>46041</v>
          </cell>
          <cell r="H401" t="str">
            <v>TRZEBIATOWSKA-MACIEJKO EWA</v>
          </cell>
          <cell r="N401">
            <v>284.44</v>
          </cell>
        </row>
        <row r="402">
          <cell r="A402">
            <v>46041</v>
          </cell>
          <cell r="H402" t="str">
            <v/>
          </cell>
          <cell r="N402">
            <v>0</v>
          </cell>
        </row>
        <row r="403">
          <cell r="A403">
            <v>46041</v>
          </cell>
          <cell r="H403" t="str">
            <v/>
          </cell>
          <cell r="N403">
            <v>0</v>
          </cell>
        </row>
        <row r="404">
          <cell r="A404">
            <v>46041</v>
          </cell>
          <cell r="H404" t="str">
            <v/>
          </cell>
          <cell r="N404">
            <v>0</v>
          </cell>
        </row>
        <row r="405">
          <cell r="A405">
            <v>46041</v>
          </cell>
          <cell r="H405" t="str">
            <v/>
          </cell>
          <cell r="N405">
            <v>0</v>
          </cell>
        </row>
        <row r="406">
          <cell r="A406">
            <v>46041</v>
          </cell>
          <cell r="H406" t="str">
            <v/>
          </cell>
          <cell r="N406">
            <v>0</v>
          </cell>
        </row>
        <row r="407">
          <cell r="A407">
            <v>46040</v>
          </cell>
          <cell r="H407" t="str">
            <v>MAGDALENA BŁASZKOWSKA</v>
          </cell>
          <cell r="N407">
            <v>243.2</v>
          </cell>
        </row>
        <row r="408">
          <cell r="A408">
            <v>46040</v>
          </cell>
          <cell r="H408" t="str">
            <v/>
          </cell>
          <cell r="N408">
            <v>0</v>
          </cell>
        </row>
        <row r="409">
          <cell r="A409">
            <v>46040</v>
          </cell>
          <cell r="H409" t="str">
            <v/>
          </cell>
          <cell r="N409">
            <v>0</v>
          </cell>
        </row>
        <row r="410">
          <cell r="A410">
            <v>46038</v>
          </cell>
          <cell r="H410" t="str">
            <v>WRÓBEL MAŁGORZATA</v>
          </cell>
          <cell r="N410">
            <v>213.33</v>
          </cell>
        </row>
        <row r="411">
          <cell r="A411">
            <v>46038</v>
          </cell>
          <cell r="H411" t="str">
            <v>AUTOPAY SPÓŁKA AKCYJNA UL.POWSTAŃCÓW WARSZAWY 6</v>
          </cell>
          <cell r="N411">
            <v>452</v>
          </cell>
        </row>
        <row r="412">
          <cell r="A412">
            <v>46037</v>
          </cell>
          <cell r="H412" t="str">
            <v>AUTOPAY SPÓŁKA AKCYJNA UL.POWSTAŃCÓW WARSZAWY 6</v>
          </cell>
          <cell r="N412">
            <v>1359.62</v>
          </cell>
        </row>
        <row r="413">
          <cell r="A413">
            <v>46037</v>
          </cell>
          <cell r="H413" t="str">
            <v>GABINET PSYCHOTERAPII UZALEŻNIEŃ I WSPÓŁUZALEŻNIENIA EWA KACPERSKA</v>
          </cell>
          <cell r="N413">
            <v>191.91</v>
          </cell>
        </row>
        <row r="414">
          <cell r="A414">
            <v>46036</v>
          </cell>
          <cell r="H414" t="str">
            <v>RAFAŁ JANUSZ MATUKIEWICZ GEN. WARAKSIEWICZA 9</v>
          </cell>
          <cell r="N414">
            <v>235.6</v>
          </cell>
        </row>
        <row r="415">
          <cell r="A415">
            <v>46036</v>
          </cell>
          <cell r="H415" t="str">
            <v>AUTOPAY SPÓŁKA AKCYJNA UL.POWSTAŃCÓW WARSZAWY 6</v>
          </cell>
          <cell r="N415">
            <v>936.82</v>
          </cell>
        </row>
        <row r="416">
          <cell r="A416">
            <v>46035</v>
          </cell>
          <cell r="H416" t="str">
            <v>MARZENA SZYMAŃSKA SAMPŁAWA 40</v>
          </cell>
          <cell r="N416">
            <v>203.87</v>
          </cell>
        </row>
        <row r="417">
          <cell r="A417">
            <v>46035</v>
          </cell>
          <cell r="H417" t="str">
            <v>AUTOPAY SPÓŁKA AKCYJNA UL.POWSTAŃCÓW WARSZAWY 6</v>
          </cell>
          <cell r="N417">
            <v>1485.34</v>
          </cell>
        </row>
        <row r="418">
          <cell r="A418">
            <v>46034</v>
          </cell>
          <cell r="H418" t="str">
            <v>AUTOPAY SPÓŁKA AKCYJNA UL.POWSTAŃCÓW WARSZAWY 6</v>
          </cell>
          <cell r="N418">
            <v>1637.05</v>
          </cell>
        </row>
        <row r="419">
          <cell r="A419">
            <v>46034</v>
          </cell>
          <cell r="H419" t="str">
            <v>AUTOPAY SPÓŁKA AKCYJNA UL.POWSTAŃCÓW WARSZAWY 6</v>
          </cell>
          <cell r="N419">
            <v>725.02</v>
          </cell>
        </row>
        <row r="420">
          <cell r="A420">
            <v>46034</v>
          </cell>
          <cell r="H420" t="str">
            <v/>
          </cell>
          <cell r="N420">
            <v>0</v>
          </cell>
        </row>
        <row r="421">
          <cell r="A421">
            <v>46034</v>
          </cell>
          <cell r="H421" t="str">
            <v>AUTOPAY SPÓŁKA AKCYJNA UL.POWSTAŃCÓW WARSZAWY 6</v>
          </cell>
          <cell r="N421">
            <v>462.88</v>
          </cell>
        </row>
        <row r="422">
          <cell r="A422">
            <v>46034</v>
          </cell>
          <cell r="H422" t="str">
            <v>ŁUKASZ MARCIN TARCHANOW</v>
          </cell>
          <cell r="N422">
            <v>322.67</v>
          </cell>
        </row>
        <row r="423">
          <cell r="A423">
            <v>46034</v>
          </cell>
          <cell r="H423" t="str">
            <v>LR HEALTH&amp;BEAUTY SYSTEMS SP. Z O O.</v>
          </cell>
          <cell r="N423">
            <v>5575.22</v>
          </cell>
        </row>
        <row r="424">
          <cell r="A424">
            <v>46034</v>
          </cell>
          <cell r="H424" t="str">
            <v>Agnieszka Szymańska</v>
          </cell>
          <cell r="N424">
            <v>244.89</v>
          </cell>
        </row>
        <row r="425">
          <cell r="A425">
            <v>46034</v>
          </cell>
          <cell r="H425" t="str">
            <v>FUNDACJA ROZWOJU WARMII I MAZUR</v>
          </cell>
          <cell r="N425">
            <v>5398.5</v>
          </cell>
        </row>
        <row r="426">
          <cell r="A426">
            <v>46033</v>
          </cell>
          <cell r="H426" t="str">
            <v>TOMASZ JERZY ROSIŃSKI</v>
          </cell>
          <cell r="N426">
            <v>235.6</v>
          </cell>
        </row>
        <row r="427">
          <cell r="A427">
            <v>46033</v>
          </cell>
          <cell r="H427" t="str">
            <v/>
          </cell>
          <cell r="N427">
            <v>0</v>
          </cell>
        </row>
        <row r="428">
          <cell r="A428">
            <v>46032</v>
          </cell>
          <cell r="H428" t="str">
            <v>BEATA MARIA KUHNWALD</v>
          </cell>
          <cell r="N428">
            <v>224.96</v>
          </cell>
        </row>
        <row r="429">
          <cell r="A429">
            <v>46031</v>
          </cell>
          <cell r="H429" t="str">
            <v xml:space="preserve">KOCHANOWSKA IWONA </v>
          </cell>
          <cell r="N429">
            <v>367.84</v>
          </cell>
        </row>
        <row r="430">
          <cell r="A430">
            <v>46031</v>
          </cell>
          <cell r="H430" t="str">
            <v>AUTOPAY SPÓŁKA AKCYJNA UL.POWSTAŃCÓW WARSZAWY 6</v>
          </cell>
          <cell r="N430">
            <v>472.4</v>
          </cell>
        </row>
        <row r="431">
          <cell r="A431">
            <v>46031</v>
          </cell>
          <cell r="H431" t="str">
            <v>BOJANOWSKA ANETA LASECZNO MAŁE 79</v>
          </cell>
          <cell r="N431">
            <v>232</v>
          </cell>
        </row>
        <row r="432">
          <cell r="A432">
            <v>46031</v>
          </cell>
          <cell r="H432" t="str">
            <v>LUBIENIECKA M I LUBIENIECKI M UL. KOLOROWA 17</v>
          </cell>
          <cell r="N432">
            <v>235.6</v>
          </cell>
        </row>
        <row r="433">
          <cell r="A433">
            <v>46030</v>
          </cell>
          <cell r="H433" t="str">
            <v>DOROTA ANNA UMIŃSKA</v>
          </cell>
          <cell r="N433">
            <v>248</v>
          </cell>
        </row>
        <row r="434">
          <cell r="A434">
            <v>46030</v>
          </cell>
          <cell r="H434" t="str">
            <v>AUTOPAY SPÓŁKA AKCYJNA UL.POWSTAŃCÓW WARSZAWY 6</v>
          </cell>
          <cell r="N434">
            <v>230</v>
          </cell>
        </row>
        <row r="435">
          <cell r="A435">
            <v>46030</v>
          </cell>
          <cell r="H435" t="str">
            <v/>
          </cell>
          <cell r="N435">
            <v>0</v>
          </cell>
        </row>
        <row r="436">
          <cell r="A436">
            <v>46029</v>
          </cell>
          <cell r="H436" t="str">
            <v>AUTOPAY SPÓŁKA AKCYJNA UL.POWSTAŃCÓW WARSZAWY 6</v>
          </cell>
          <cell r="N436">
            <v>318</v>
          </cell>
        </row>
        <row r="437">
          <cell r="A437">
            <v>46029</v>
          </cell>
          <cell r="H437" t="str">
            <v>WALDEMAR KLIMIK</v>
          </cell>
          <cell r="N437">
            <v>224.96</v>
          </cell>
        </row>
        <row r="438">
          <cell r="A438">
            <v>46029</v>
          </cell>
          <cell r="H438" t="str">
            <v>WALDEMAR KLIMIK</v>
          </cell>
          <cell r="N438">
            <v>220.4</v>
          </cell>
        </row>
        <row r="439">
          <cell r="A439">
            <v>46027</v>
          </cell>
          <cell r="H439" t="str">
            <v>AUTOPAY SPÓŁKA AKCYJNA UL.POWSTAŃCÓW WARSZAWY 6</v>
          </cell>
          <cell r="N439">
            <v>830</v>
          </cell>
        </row>
        <row r="440">
          <cell r="A440">
            <v>46027</v>
          </cell>
          <cell r="H440" t="str">
            <v>MAŁKIEWICZ AGNIESZKA WIELKI GŁĘBOCZ EK 4 87-313 WIELKI GŁĘBOCZEK</v>
          </cell>
          <cell r="N440">
            <v>220.4</v>
          </cell>
        </row>
        <row r="441">
          <cell r="A441">
            <v>46027</v>
          </cell>
          <cell r="H441" t="str">
            <v>ŁUKASZ NOWAK</v>
          </cell>
          <cell r="N441">
            <v>291.56</v>
          </cell>
        </row>
        <row r="442">
          <cell r="A442">
            <v>46027</v>
          </cell>
          <cell r="H442" t="str">
            <v>ŁUKASZ NOWAK</v>
          </cell>
          <cell r="N442">
            <v>283.56</v>
          </cell>
        </row>
        <row r="443">
          <cell r="A443">
            <v>46027</v>
          </cell>
          <cell r="H443" t="str">
            <v>ŁUKASZEWSKA SYLWIA</v>
          </cell>
          <cell r="N443">
            <v>300.02</v>
          </cell>
        </row>
        <row r="444">
          <cell r="A444">
            <v>46027</v>
          </cell>
          <cell r="H444" t="str">
            <v/>
          </cell>
          <cell r="N444">
            <v>0</v>
          </cell>
        </row>
        <row r="445">
          <cell r="A445">
            <v>46025</v>
          </cell>
          <cell r="H445" t="str">
            <v>EMILIA MARIA PIECUCH</v>
          </cell>
          <cell r="N445">
            <v>243.2</v>
          </cell>
        </row>
        <row r="446">
          <cell r="A446">
            <v>46025</v>
          </cell>
          <cell r="H446" t="str">
            <v>ILONA TERESA PATURALSKA</v>
          </cell>
          <cell r="N446">
            <v>312.89</v>
          </cell>
        </row>
        <row r="447">
          <cell r="A447">
            <v>46025</v>
          </cell>
          <cell r="H447" t="str">
            <v>KINGA ZIELIŃSKA</v>
          </cell>
          <cell r="N447">
            <v>244.89</v>
          </cell>
        </row>
        <row r="448">
          <cell r="A448">
            <v>46024</v>
          </cell>
          <cell r="H448" t="str">
            <v>MAREK KLIMIK PIASTOWSKA 6/38</v>
          </cell>
          <cell r="N448">
            <v>367.84</v>
          </cell>
        </row>
        <row r="449">
          <cell r="A449">
            <v>46024</v>
          </cell>
          <cell r="H449" t="str">
            <v>AUTOPAY SPÓŁKA AKCYJNA UL.POWSTAŃCÓW WARSZAWY 6</v>
          </cell>
          <cell r="N449">
            <v>1034.58</v>
          </cell>
        </row>
        <row r="450">
          <cell r="A450">
            <v>46024</v>
          </cell>
          <cell r="H450" t="str">
            <v>MARTA KUŹNIEWSKA KSIĘŻNEJ DOBRAWY 21 A</v>
          </cell>
          <cell r="N450">
            <v>232</v>
          </cell>
        </row>
        <row r="451">
          <cell r="A451">
            <v>46024</v>
          </cell>
          <cell r="H451" t="str">
            <v>AUTOPAY SPÓŁKA AKCYJNA UL.POWSTAŃCÓW WARSZAWY 6</v>
          </cell>
          <cell r="N451">
            <v>1051.46</v>
          </cell>
        </row>
        <row r="452">
          <cell r="A452">
            <v>46023</v>
          </cell>
          <cell r="H452" t="str">
            <v>ANNA WARMIŃSKA</v>
          </cell>
          <cell r="N452">
            <v>220.4</v>
          </cell>
        </row>
        <row r="453">
          <cell r="A453">
            <v>46022</v>
          </cell>
          <cell r="H453" t="str">
            <v>AUTOPAY SPÓŁKA AKCYJNA UL.POWSTAŃCÓW WARSZAWY 6</v>
          </cell>
          <cell r="N453">
            <v>441.36</v>
          </cell>
        </row>
        <row r="454">
          <cell r="A454">
            <v>46022</v>
          </cell>
          <cell r="H454" t="str">
            <v/>
          </cell>
          <cell r="N454">
            <v>0</v>
          </cell>
        </row>
        <row r="455">
          <cell r="A455">
            <v>46022</v>
          </cell>
          <cell r="H455" t="str">
            <v/>
          </cell>
          <cell r="N455">
            <v>0</v>
          </cell>
        </row>
        <row r="456">
          <cell r="A456">
            <v>46022</v>
          </cell>
          <cell r="H456" t="str">
            <v/>
          </cell>
          <cell r="N456">
            <v>0</v>
          </cell>
        </row>
        <row r="457">
          <cell r="A457">
            <v>46022</v>
          </cell>
          <cell r="H457" t="str">
            <v/>
          </cell>
          <cell r="N457">
            <v>0</v>
          </cell>
        </row>
        <row r="458">
          <cell r="A458">
            <v>46022</v>
          </cell>
          <cell r="H458" t="str">
            <v/>
          </cell>
          <cell r="N458">
            <v>0</v>
          </cell>
        </row>
        <row r="459">
          <cell r="A459">
            <v>46022</v>
          </cell>
          <cell r="H459" t="str">
            <v/>
          </cell>
          <cell r="N459">
            <v>0</v>
          </cell>
        </row>
        <row r="460">
          <cell r="A460">
            <v>46022</v>
          </cell>
          <cell r="H460" t="str">
            <v/>
          </cell>
          <cell r="N460">
            <v>0</v>
          </cell>
        </row>
        <row r="461">
          <cell r="A461">
            <v>46022</v>
          </cell>
          <cell r="H461" t="str">
            <v/>
          </cell>
          <cell r="N461">
            <v>0</v>
          </cell>
        </row>
        <row r="462">
          <cell r="A462">
            <v>46021</v>
          </cell>
          <cell r="H462" t="str">
            <v>ANIMEX FOODS SP. Z O.O. CHALUBINSKIEGO 8</v>
          </cell>
          <cell r="N462">
            <v>2948</v>
          </cell>
        </row>
        <row r="463">
          <cell r="A463">
            <v>46021</v>
          </cell>
          <cell r="H463" t="str">
            <v>AUTOPAY SPÓŁKA AKCYJNA UL.POWSTAŃCÓW WARSZAWY 6</v>
          </cell>
          <cell r="N463">
            <v>668</v>
          </cell>
        </row>
        <row r="464">
          <cell r="A464">
            <v>46020</v>
          </cell>
          <cell r="H464" t="str">
            <v>AUTOPAY SPÓŁKA AKCYJNA UL.POWSTAŃCÓW WARSZAWY 6</v>
          </cell>
          <cell r="N464">
            <v>241.2</v>
          </cell>
        </row>
        <row r="465">
          <cell r="A465">
            <v>46020</v>
          </cell>
          <cell r="H465" t="str">
            <v>AUTOPAY SPÓŁKA AKCYJNA UL.POWSTAŃCÓW WARSZAWY 6</v>
          </cell>
          <cell r="N465">
            <v>471.2</v>
          </cell>
        </row>
        <row r="466">
          <cell r="A466">
            <v>46018</v>
          </cell>
          <cell r="H466" t="str">
            <v>TOMASZ TYC</v>
          </cell>
          <cell r="N466">
            <v>208.8</v>
          </cell>
        </row>
        <row r="467">
          <cell r="A467">
            <v>46018</v>
          </cell>
          <cell r="H467" t="str">
            <v/>
          </cell>
          <cell r="N467">
            <v>0</v>
          </cell>
        </row>
        <row r="468">
          <cell r="A468">
            <v>46015</v>
          </cell>
          <cell r="H468" t="str">
            <v>WIOLETTA BORUCKA</v>
          </cell>
          <cell r="N468">
            <v>232</v>
          </cell>
        </row>
        <row r="469">
          <cell r="A469">
            <v>46014</v>
          </cell>
          <cell r="H469" t="str">
            <v>JOANNA MAŁGORZATA WIĘCZKOWSKA WYSZYŃSKIEGO 37A M 40</v>
          </cell>
          <cell r="N469">
            <v>190.91</v>
          </cell>
        </row>
        <row r="470">
          <cell r="A470">
            <v>46014</v>
          </cell>
          <cell r="H470" t="str">
            <v>AUTOPAY SPÓŁKA AKCYJNA UL.POWSTAŃCÓW WARSZAWY 6</v>
          </cell>
          <cell r="N470">
            <v>540.89</v>
          </cell>
        </row>
        <row r="471">
          <cell r="A471">
            <v>46014</v>
          </cell>
          <cell r="H471" t="str">
            <v/>
          </cell>
          <cell r="N471">
            <v>0</v>
          </cell>
        </row>
        <row r="472">
          <cell r="A472">
            <v>46014</v>
          </cell>
          <cell r="H472" t="str">
            <v/>
          </cell>
          <cell r="N472">
            <v>0</v>
          </cell>
        </row>
        <row r="473">
          <cell r="A473">
            <v>46014</v>
          </cell>
          <cell r="H473" t="str">
            <v/>
          </cell>
          <cell r="N473">
            <v>0</v>
          </cell>
        </row>
        <row r="474">
          <cell r="A474">
            <v>46014</v>
          </cell>
          <cell r="H474" t="str">
            <v/>
          </cell>
          <cell r="N474">
            <v>0</v>
          </cell>
        </row>
        <row r="475">
          <cell r="A475">
            <v>46014</v>
          </cell>
          <cell r="H475" t="str">
            <v/>
          </cell>
          <cell r="N475">
            <v>0</v>
          </cell>
        </row>
        <row r="476">
          <cell r="A476">
            <v>46014</v>
          </cell>
          <cell r="H476" t="str">
            <v/>
          </cell>
          <cell r="N476">
            <v>0</v>
          </cell>
        </row>
        <row r="477">
          <cell r="A477">
            <v>46013</v>
          </cell>
          <cell r="H477" t="str">
            <v>AUTOPAY SPÓŁKA AKCYJNA UL. POWSTAŃC ÓW WARSZAWY 6 81-718 SOPOT AUTOPAY</v>
          </cell>
          <cell r="N477">
            <v>241.2</v>
          </cell>
        </row>
        <row r="478">
          <cell r="A478">
            <v>46013</v>
          </cell>
          <cell r="H478" t="str">
            <v>BAJOR MICHAŁ</v>
          </cell>
          <cell r="N478">
            <v>350.9</v>
          </cell>
        </row>
        <row r="479">
          <cell r="A479">
            <v>46013</v>
          </cell>
          <cell r="H479" t="str">
            <v>AUTOPAY SPÓŁKA AKCYJNA UL. POWSTAŃC ÓW WARSZAWY 6 81-718 SOPOT AUTOPAY</v>
          </cell>
          <cell r="N479">
            <v>478.42</v>
          </cell>
        </row>
        <row r="480">
          <cell r="A480">
            <v>46012</v>
          </cell>
          <cell r="H480" t="str">
            <v>DOROTA ANNA UMIŃSKA</v>
          </cell>
          <cell r="N480">
            <v>248</v>
          </cell>
        </row>
        <row r="481">
          <cell r="A481">
            <v>46012</v>
          </cell>
          <cell r="H481" t="str">
            <v>HANNA MARIA GAMALSKA</v>
          </cell>
          <cell r="N481">
            <v>445.36</v>
          </cell>
        </row>
        <row r="482">
          <cell r="A482">
            <v>46010</v>
          </cell>
          <cell r="H482" t="str">
            <v>ANETA ELŻBIETA NAWORSKA</v>
          </cell>
          <cell r="N482">
            <v>307.2</v>
          </cell>
        </row>
        <row r="483">
          <cell r="A483">
            <v>46009</v>
          </cell>
          <cell r="H483" t="str">
            <v>MAGDALENA BŁASZKOWSKA</v>
          </cell>
          <cell r="N483">
            <v>243.2</v>
          </cell>
        </row>
        <row r="484">
          <cell r="A484">
            <v>46009</v>
          </cell>
          <cell r="H484" t="str">
            <v/>
          </cell>
          <cell r="N484">
            <v>0</v>
          </cell>
        </row>
        <row r="485">
          <cell r="A485">
            <v>46009</v>
          </cell>
          <cell r="H485" t="str">
            <v>BARTON POLSKA SPÓŁKA Z OGRANICZONĄ ODPOWIEDZIALNOŚCIĄ</v>
          </cell>
          <cell r="N485">
            <v>4800</v>
          </cell>
        </row>
        <row r="486">
          <cell r="A486">
            <v>46009</v>
          </cell>
          <cell r="H486" t="str">
            <v>AUTOPAY SPÓŁKA AKCYJNA UL.POWSTAŃCÓW WARSZAWY 6</v>
          </cell>
          <cell r="N486">
            <v>1067.8499999999999</v>
          </cell>
        </row>
        <row r="487">
          <cell r="A487">
            <v>46008</v>
          </cell>
          <cell r="H487" t="str">
            <v>BOŻENA CHRAPKOWSKA</v>
          </cell>
          <cell r="N487">
            <v>32.450000000000003</v>
          </cell>
        </row>
        <row r="488">
          <cell r="A488">
            <v>46008</v>
          </cell>
          <cell r="H488" t="str">
            <v>AUTOPAY SPÓŁKA AKCYJNA UL.POWSTAŃCÓW WARSZAWY 6</v>
          </cell>
          <cell r="N488">
            <v>386.6</v>
          </cell>
        </row>
        <row r="489">
          <cell r="A489">
            <v>46008</v>
          </cell>
          <cell r="H489" t="str">
            <v/>
          </cell>
          <cell r="N489">
            <v>0</v>
          </cell>
        </row>
        <row r="490">
          <cell r="A490">
            <v>46008</v>
          </cell>
          <cell r="H490" t="str">
            <v/>
          </cell>
          <cell r="N490">
            <v>0</v>
          </cell>
        </row>
        <row r="491">
          <cell r="A491">
            <v>46008</v>
          </cell>
          <cell r="H491" t="str">
            <v/>
          </cell>
          <cell r="N491">
            <v>0</v>
          </cell>
        </row>
        <row r="492">
          <cell r="A492">
            <v>46008</v>
          </cell>
          <cell r="H492" t="str">
            <v/>
          </cell>
          <cell r="N492">
            <v>0</v>
          </cell>
        </row>
        <row r="493">
          <cell r="A493">
            <v>46007</v>
          </cell>
          <cell r="H493" t="str">
            <v>WRÓBEL MAŁGORZATA</v>
          </cell>
          <cell r="N493">
            <v>213.34</v>
          </cell>
        </row>
        <row r="494">
          <cell r="A494">
            <v>46007</v>
          </cell>
          <cell r="H494" t="str">
            <v>AUTOPAY SPÓŁKA AKCYJNA UL.POWSTAŃCÓW WARSZAWY 6</v>
          </cell>
          <cell r="N494">
            <v>498</v>
          </cell>
        </row>
        <row r="495">
          <cell r="A495">
            <v>46006</v>
          </cell>
          <cell r="H495" t="str">
            <v>AUTOPAY SPÓŁKA AKCYJNA UL.POWSTAŃCÓW WARSZAWY 6</v>
          </cell>
          <cell r="N495">
            <v>692.85</v>
          </cell>
        </row>
        <row r="496">
          <cell r="A496">
            <v>46006</v>
          </cell>
          <cell r="H496" t="str">
            <v>AUTOPAY SPÓŁKA AKCYJNA UL.POWSTAŃCÓW WARSZAWY 6</v>
          </cell>
          <cell r="N496">
            <v>218.4</v>
          </cell>
        </row>
        <row r="497">
          <cell r="A497">
            <v>46006</v>
          </cell>
          <cell r="H497" t="str">
            <v>AUTOPAY SPÓŁKA AKCYJNA UL.POWSTAŃCÓW WARSZAWY 6</v>
          </cell>
          <cell r="N497">
            <v>1689.88</v>
          </cell>
        </row>
        <row r="498">
          <cell r="A498">
            <v>46006</v>
          </cell>
          <cell r="H498" t="str">
            <v>RAFAŁ JANUSZ MATUKIEWICZ GEN. WARAKSIEWICZA 9</v>
          </cell>
          <cell r="N498">
            <v>235.6</v>
          </cell>
        </row>
        <row r="499">
          <cell r="A499">
            <v>46006</v>
          </cell>
          <cell r="H499" t="str">
            <v>Agnieszka Szymańska</v>
          </cell>
          <cell r="N499">
            <v>244.89</v>
          </cell>
        </row>
        <row r="500">
          <cell r="A500">
            <v>46006</v>
          </cell>
          <cell r="H500" t="str">
            <v>MONIKA A MARASZEK UL. NIEPODLEGŁOŚC I 4 82-550 PRABUTY MONIKA A MARASZE</v>
          </cell>
          <cell r="N500">
            <v>319</v>
          </cell>
        </row>
        <row r="501">
          <cell r="A501">
            <v>46004</v>
          </cell>
          <cell r="H501" t="str">
            <v>ŁUKASZ MARCIN TARCHANOW</v>
          </cell>
          <cell r="N501">
            <v>322.67</v>
          </cell>
        </row>
        <row r="502">
          <cell r="A502">
            <v>46003</v>
          </cell>
          <cell r="H502" t="str">
            <v>KINGA ZIELIŃSKA</v>
          </cell>
          <cell r="N502">
            <v>244.89</v>
          </cell>
        </row>
        <row r="503">
          <cell r="A503">
            <v>46003</v>
          </cell>
          <cell r="H503" t="str">
            <v>MARZENA SZYMAŃSKA SAMPŁAWA 40</v>
          </cell>
          <cell r="N503">
            <v>203.87</v>
          </cell>
        </row>
        <row r="504">
          <cell r="A504">
            <v>46003</v>
          </cell>
          <cell r="H504" t="str">
            <v>AUTOPAY SPÓŁKA AKCYJNA UL.POWSTAŃCÓW WARSZAWY 6</v>
          </cell>
          <cell r="N504">
            <v>2369.42</v>
          </cell>
        </row>
        <row r="505">
          <cell r="A505">
            <v>46003</v>
          </cell>
          <cell r="H505" t="str">
            <v>TRZEBIATOWSKA-MACIEJKO EWA</v>
          </cell>
          <cell r="N505">
            <v>284.44</v>
          </cell>
        </row>
        <row r="506">
          <cell r="A506">
            <v>46002</v>
          </cell>
          <cell r="H506" t="str">
            <v>AUTOPAY SPÓŁKA AKCYJNA UL.POWSTAŃCÓW WARSZAWY 6</v>
          </cell>
          <cell r="N506">
            <v>1183.99</v>
          </cell>
        </row>
        <row r="507">
          <cell r="A507">
            <v>46001</v>
          </cell>
          <cell r="H507" t="str">
            <v>LR HEALTH&amp;BEAUTY SYSTEMS SP. Z O O.</v>
          </cell>
          <cell r="N507">
            <v>1313.18</v>
          </cell>
        </row>
        <row r="508">
          <cell r="A508">
            <v>46001</v>
          </cell>
          <cell r="H508" t="str">
            <v>AUTOPAY SPÓŁKA AKCYJNA UL.POWSTAŃCÓW WARSZAWY 6</v>
          </cell>
          <cell r="N508">
            <v>474.45</v>
          </cell>
        </row>
        <row r="509">
          <cell r="A509">
            <v>46001</v>
          </cell>
          <cell r="H509" t="str">
            <v>BOJANOWSKA ANETA LASECZNO MAŁE 79</v>
          </cell>
          <cell r="N509">
            <v>232</v>
          </cell>
        </row>
        <row r="510">
          <cell r="A510">
            <v>46001</v>
          </cell>
          <cell r="H510" t="str">
            <v>ILONA TERESA PATURALSKA</v>
          </cell>
          <cell r="N510">
            <v>312.89</v>
          </cell>
        </row>
        <row r="511">
          <cell r="A511">
            <v>46001</v>
          </cell>
          <cell r="H511" t="str">
            <v/>
          </cell>
          <cell r="N511">
            <v>0</v>
          </cell>
        </row>
        <row r="512">
          <cell r="A512">
            <v>46000</v>
          </cell>
          <cell r="H512" t="str">
            <v>TOMASZ JERZY ROSIŃSKI</v>
          </cell>
          <cell r="N512">
            <v>235.6</v>
          </cell>
        </row>
        <row r="513">
          <cell r="A513">
            <v>46000</v>
          </cell>
          <cell r="H513" t="str">
            <v>LUBIENIECKA M I LUBIENIECKI M UL. KOLOROWA 17</v>
          </cell>
          <cell r="N513">
            <v>235.6</v>
          </cell>
        </row>
        <row r="514">
          <cell r="A514">
            <v>46000</v>
          </cell>
          <cell r="H514" t="str">
            <v xml:space="preserve">KOCHANOWSKA IWONA </v>
          </cell>
          <cell r="N514">
            <v>367.84</v>
          </cell>
        </row>
        <row r="515">
          <cell r="A515">
            <v>46000</v>
          </cell>
          <cell r="H515" t="str">
            <v>AUTOPAY SPÓŁKA AKCYJNA UL.POWSTAŃCÓW WARSZAWY 6</v>
          </cell>
          <cell r="N515">
            <v>830</v>
          </cell>
        </row>
        <row r="516">
          <cell r="A516">
            <v>46000</v>
          </cell>
          <cell r="H516" t="str">
            <v/>
          </cell>
          <cell r="N516">
            <v>0</v>
          </cell>
        </row>
        <row r="517">
          <cell r="A517">
            <v>46000</v>
          </cell>
          <cell r="H517" t="str">
            <v>WRÓBEL MAŁGORZATA</v>
          </cell>
          <cell r="N517">
            <v>300</v>
          </cell>
        </row>
        <row r="518">
          <cell r="A518">
            <v>46000</v>
          </cell>
          <cell r="H518" t="str">
            <v/>
          </cell>
          <cell r="N518">
            <v>0</v>
          </cell>
        </row>
        <row r="519">
          <cell r="A519">
            <v>46000</v>
          </cell>
          <cell r="H519" t="str">
            <v/>
          </cell>
          <cell r="N519">
            <v>0</v>
          </cell>
        </row>
        <row r="520">
          <cell r="A520">
            <v>46000</v>
          </cell>
          <cell r="H520" t="str">
            <v/>
          </cell>
          <cell r="N520">
            <v>0</v>
          </cell>
        </row>
        <row r="521">
          <cell r="A521">
            <v>46000</v>
          </cell>
          <cell r="H521" t="str">
            <v/>
          </cell>
          <cell r="N521">
            <v>0</v>
          </cell>
        </row>
        <row r="522">
          <cell r="A522">
            <v>46000</v>
          </cell>
          <cell r="H522" t="str">
            <v/>
          </cell>
          <cell r="N522">
            <v>0</v>
          </cell>
        </row>
        <row r="523">
          <cell r="A523">
            <v>46000</v>
          </cell>
          <cell r="H523" t="str">
            <v>WALDEMAR KLIMIK</v>
          </cell>
          <cell r="N523">
            <v>224.96</v>
          </cell>
        </row>
        <row r="524">
          <cell r="A524">
            <v>46000</v>
          </cell>
          <cell r="H524" t="str">
            <v>WALDEMAR KLIMIK</v>
          </cell>
          <cell r="N524">
            <v>220.4</v>
          </cell>
        </row>
        <row r="525">
          <cell r="A525">
            <v>45999</v>
          </cell>
          <cell r="H525" t="str">
            <v>FUNDACJA ROZWOJU WARMII I MAZUR</v>
          </cell>
          <cell r="N525">
            <v>2389.5</v>
          </cell>
        </row>
        <row r="526">
          <cell r="A526">
            <v>45999</v>
          </cell>
          <cell r="H526" t="str">
            <v>AUTOPAY SPÓŁKA AKCYJNA UL.POWSTAŃCÓW WARSZAWY 6</v>
          </cell>
          <cell r="N526">
            <v>516.89</v>
          </cell>
        </row>
        <row r="527">
          <cell r="A527">
            <v>45999</v>
          </cell>
          <cell r="H527" t="str">
            <v>AUTOPAY SPÓŁKA AKCYJNA UL.POWSTAŃCÓW WARSZAWY 6</v>
          </cell>
          <cell r="N527">
            <v>981.86</v>
          </cell>
        </row>
        <row r="528">
          <cell r="A528">
            <v>45999</v>
          </cell>
          <cell r="H528" t="str">
            <v>BEATA MARIA KUHNWALD</v>
          </cell>
          <cell r="N528">
            <v>224.96</v>
          </cell>
        </row>
        <row r="529">
          <cell r="A529">
            <v>45999</v>
          </cell>
          <cell r="H529" t="str">
            <v>PATRYCJA KAMILA MACIEJEWSKA</v>
          </cell>
          <cell r="N529">
            <v>497.71</v>
          </cell>
        </row>
        <row r="530">
          <cell r="A530">
            <v>45996</v>
          </cell>
          <cell r="H530" t="str">
            <v>BOŻENA CHRAPKOWSKA</v>
          </cell>
          <cell r="N530">
            <v>262.5</v>
          </cell>
        </row>
        <row r="531">
          <cell r="A531">
            <v>45996</v>
          </cell>
          <cell r="H531" t="str">
            <v>AUTOPAY SPÓŁKA AKCYJNA UL.POWSTAŃCÓW WARSZAWY 6</v>
          </cell>
          <cell r="N531">
            <v>318</v>
          </cell>
        </row>
        <row r="532">
          <cell r="A532">
            <v>45995</v>
          </cell>
          <cell r="H532" t="str">
            <v>AUTOPAY SPÓŁKA AKCYJNA UL.POWSTAŃCÓW WARSZAWY 6</v>
          </cell>
          <cell r="N532">
            <v>288</v>
          </cell>
        </row>
        <row r="533">
          <cell r="A533">
            <v>45995</v>
          </cell>
          <cell r="H533" t="str">
            <v/>
          </cell>
          <cell r="N533">
            <v>0</v>
          </cell>
        </row>
        <row r="534">
          <cell r="A534">
            <v>45994</v>
          </cell>
          <cell r="H534" t="str">
            <v>MAŁKIEWICZ AGNIESZKA WIELKI GŁĘBOCZ EK 4 87-313 WIELKI GŁĘBOCZEK</v>
          </cell>
          <cell r="N534">
            <v>220.4</v>
          </cell>
        </row>
        <row r="535">
          <cell r="A535">
            <v>45994</v>
          </cell>
          <cell r="H535" t="str">
            <v>AUTOPAY SPÓŁKA AKCYJNA UL.POWSTAŃCÓW WARSZAWY 6</v>
          </cell>
          <cell r="N535">
            <v>1237.78</v>
          </cell>
        </row>
        <row r="536">
          <cell r="A536">
            <v>45993</v>
          </cell>
          <cell r="H536" t="str">
            <v>EMILIA MARIA PIECUCH</v>
          </cell>
          <cell r="N536">
            <v>243.2</v>
          </cell>
        </row>
        <row r="537">
          <cell r="A537">
            <v>45993</v>
          </cell>
          <cell r="H537" t="str">
            <v>AUTOPAY SPÓŁKA AKCYJNA UL.POWSTAŃCÓW WARSZAWY 6</v>
          </cell>
          <cell r="N537">
            <v>752.25</v>
          </cell>
        </row>
        <row r="538">
          <cell r="A538">
            <v>45993</v>
          </cell>
          <cell r="H538" t="str">
            <v>MAREK KLIMIK PIASTOWSKA 6/38</v>
          </cell>
          <cell r="N538">
            <v>367.84</v>
          </cell>
        </row>
        <row r="539">
          <cell r="A539">
            <v>45992</v>
          </cell>
          <cell r="H539" t="str">
            <v>GABINET PSYCHOTERAPII UZALEŻNIEŃ I WSPÓŁUZALEŻNIENIA EWA KACPERSKA</v>
          </cell>
          <cell r="N539">
            <v>191.91</v>
          </cell>
        </row>
        <row r="540">
          <cell r="A540">
            <v>45992</v>
          </cell>
          <cell r="H540" t="str">
            <v>AUTOPAY SPÓŁKA AKCYJNA UL.POWSTAŃCÓW WARSZAWY 6</v>
          </cell>
          <cell r="N540">
            <v>241.2</v>
          </cell>
        </row>
        <row r="541">
          <cell r="A541">
            <v>45992</v>
          </cell>
          <cell r="H541" t="str">
            <v>MARTA KUŹNIEWSKA KSIĘŻNEJ DOBRAWY 21 A</v>
          </cell>
          <cell r="N541">
            <v>232</v>
          </cell>
        </row>
        <row r="542">
          <cell r="A542">
            <v>45992</v>
          </cell>
          <cell r="H542" t="str">
            <v>MONIKA SZEFLER OBROŃCÓW WESTERPLATTE 2/11</v>
          </cell>
          <cell r="N542">
            <v>208.8</v>
          </cell>
        </row>
        <row r="543">
          <cell r="A543">
            <v>45992</v>
          </cell>
          <cell r="H543" t="str">
            <v>AUTOPAY SPÓŁKA AKCYJNA UL.POWSTAŃCÓW WARSZAWY 6</v>
          </cell>
          <cell r="N543">
            <v>564.89</v>
          </cell>
        </row>
        <row r="544">
          <cell r="A544">
            <v>45992</v>
          </cell>
          <cell r="H544" t="str">
            <v>ŁUKASZ NOWAK</v>
          </cell>
          <cell r="N544">
            <v>291.56</v>
          </cell>
        </row>
        <row r="545">
          <cell r="A545">
            <v>45992</v>
          </cell>
          <cell r="H545" t="str">
            <v>ŁUKASZ NOWAK</v>
          </cell>
          <cell r="N545">
            <v>283.56</v>
          </cell>
        </row>
        <row r="546">
          <cell r="A546">
            <v>45992</v>
          </cell>
          <cell r="H546" t="str">
            <v>ANNA WARMIŃSKA</v>
          </cell>
          <cell r="N546">
            <v>220.4</v>
          </cell>
        </row>
        <row r="547">
          <cell r="A547">
            <v>45989</v>
          </cell>
          <cell r="H547" t="str">
            <v>BAJOR MICHAŁ</v>
          </cell>
          <cell r="N547">
            <v>350.9</v>
          </cell>
        </row>
        <row r="548">
          <cell r="A548">
            <v>45989</v>
          </cell>
          <cell r="H548" t="str">
            <v>AUTOPAY SPÓŁKA AKCYJNA UL.POWSTAŃCÓW WARSZAWY 6</v>
          </cell>
          <cell r="N548">
            <v>668</v>
          </cell>
        </row>
        <row r="549">
          <cell r="A549">
            <v>45989</v>
          </cell>
          <cell r="H549" t="str">
            <v/>
          </cell>
          <cell r="N549">
            <v>0</v>
          </cell>
        </row>
        <row r="550">
          <cell r="A550">
            <v>45989</v>
          </cell>
          <cell r="H550" t="str">
            <v/>
          </cell>
          <cell r="N550">
            <v>0</v>
          </cell>
        </row>
        <row r="551">
          <cell r="A551">
            <v>45989</v>
          </cell>
          <cell r="H551" t="str">
            <v/>
          </cell>
          <cell r="N551">
            <v>0</v>
          </cell>
        </row>
        <row r="552">
          <cell r="A552">
            <v>45989</v>
          </cell>
          <cell r="H552" t="str">
            <v/>
          </cell>
          <cell r="N552">
            <v>0</v>
          </cell>
        </row>
        <row r="553">
          <cell r="A553">
            <v>45989</v>
          </cell>
          <cell r="H553" t="str">
            <v/>
          </cell>
          <cell r="N553">
            <v>0</v>
          </cell>
        </row>
        <row r="554">
          <cell r="A554">
            <v>45989</v>
          </cell>
          <cell r="H554" t="str">
            <v/>
          </cell>
          <cell r="N554">
            <v>0</v>
          </cell>
        </row>
        <row r="555">
          <cell r="A555">
            <v>45989</v>
          </cell>
          <cell r="H555" t="str">
            <v/>
          </cell>
          <cell r="N555">
            <v>0</v>
          </cell>
        </row>
        <row r="556">
          <cell r="A556">
            <v>45989</v>
          </cell>
          <cell r="H556" t="str">
            <v/>
          </cell>
          <cell r="N556">
            <v>0</v>
          </cell>
        </row>
        <row r="557">
          <cell r="A557">
            <v>45989</v>
          </cell>
          <cell r="H557" t="str">
            <v/>
          </cell>
          <cell r="N557">
            <v>0</v>
          </cell>
        </row>
        <row r="558">
          <cell r="A558">
            <v>45989</v>
          </cell>
          <cell r="H558" t="str">
            <v/>
          </cell>
          <cell r="N558">
            <v>0</v>
          </cell>
        </row>
        <row r="559">
          <cell r="A559">
            <v>45988</v>
          </cell>
          <cell r="H559" t="str">
            <v>TOMASZ TYC</v>
          </cell>
          <cell r="N559">
            <v>208.8</v>
          </cell>
        </row>
        <row r="560">
          <cell r="A560">
            <v>45988</v>
          </cell>
          <cell r="H560" t="str">
            <v/>
          </cell>
          <cell r="N560">
            <v>0</v>
          </cell>
        </row>
        <row r="561">
          <cell r="A561">
            <v>45987</v>
          </cell>
          <cell r="H561" t="str">
            <v/>
          </cell>
          <cell r="N561">
            <v>0</v>
          </cell>
        </row>
        <row r="562">
          <cell r="A562">
            <v>45986</v>
          </cell>
          <cell r="H562" t="str">
            <v>AUTOPAY SPÓŁKA AKCYJNA UL.POWSTAŃCÓW WARSZAWY 6</v>
          </cell>
          <cell r="N562">
            <v>241.2</v>
          </cell>
        </row>
        <row r="563">
          <cell r="A563">
            <v>45985</v>
          </cell>
          <cell r="H563" t="str">
            <v>HANNA MARIA GAMALSKA</v>
          </cell>
          <cell r="N563">
            <v>445.36</v>
          </cell>
        </row>
        <row r="564">
          <cell r="A564">
            <v>45985</v>
          </cell>
          <cell r="H564" t="str">
            <v>AUTOPAY SPÓŁKA AKCYJNA UL.POWSTAŃCÓW WARSZAWY 6</v>
          </cell>
          <cell r="N564">
            <v>196.86</v>
          </cell>
        </row>
        <row r="565">
          <cell r="A565">
            <v>45985</v>
          </cell>
          <cell r="H565" t="str">
            <v>ŁUKASZEWSKA SYLWIA</v>
          </cell>
          <cell r="N565">
            <v>300.02</v>
          </cell>
        </row>
        <row r="566">
          <cell r="A566">
            <v>45985</v>
          </cell>
          <cell r="H566" t="str">
            <v>WIOLETTA BORUCKA</v>
          </cell>
          <cell r="N566">
            <v>232</v>
          </cell>
        </row>
        <row r="567">
          <cell r="A567">
            <v>45983</v>
          </cell>
          <cell r="H567" t="str">
            <v/>
          </cell>
          <cell r="N567">
            <v>0</v>
          </cell>
        </row>
        <row r="568">
          <cell r="A568">
            <v>45983</v>
          </cell>
          <cell r="H568" t="str">
            <v/>
          </cell>
          <cell r="N568">
            <v>0</v>
          </cell>
        </row>
        <row r="569">
          <cell r="A569">
            <v>45982</v>
          </cell>
          <cell r="H569" t="str">
            <v>POWIAT IŁAWSKI - POWIATOWY URZĄD PRACY W IŁAWIE</v>
          </cell>
          <cell r="N569">
            <v>6000</v>
          </cell>
        </row>
        <row r="570">
          <cell r="A570">
            <v>45982</v>
          </cell>
          <cell r="H570" t="str">
            <v>ANETA ELŻBIETA NAWORSKA</v>
          </cell>
          <cell r="N570">
            <v>307.2</v>
          </cell>
        </row>
        <row r="571">
          <cell r="A571">
            <v>45982</v>
          </cell>
          <cell r="H571" t="str">
            <v>AUTOPAY SPÓŁKA AKCYJNA UL.POWSTAŃCÓW WARSZAWY 6</v>
          </cell>
          <cell r="N571">
            <v>471.2</v>
          </cell>
        </row>
        <row r="572">
          <cell r="A572">
            <v>45981</v>
          </cell>
          <cell r="H572" t="str">
            <v>DOROTA ANNA UMIŃSKA</v>
          </cell>
          <cell r="N572">
            <v>248</v>
          </cell>
        </row>
        <row r="573">
          <cell r="A573">
            <v>45980</v>
          </cell>
          <cell r="H573" t="str">
            <v/>
          </cell>
          <cell r="N573">
            <v>0</v>
          </cell>
        </row>
        <row r="574">
          <cell r="A574">
            <v>45980</v>
          </cell>
          <cell r="H574" t="str">
            <v/>
          </cell>
          <cell r="N574">
            <v>0</v>
          </cell>
        </row>
        <row r="575">
          <cell r="A575">
            <v>45980</v>
          </cell>
          <cell r="H575" t="str">
            <v>AUTOPAY SPÓŁKA AKCYJNA UL.POWSTAŃCÓW WARSZAWY 6</v>
          </cell>
          <cell r="N575">
            <v>246</v>
          </cell>
        </row>
        <row r="576">
          <cell r="A576">
            <v>45980</v>
          </cell>
          <cell r="H576" t="str">
            <v/>
          </cell>
          <cell r="N576">
            <v>0</v>
          </cell>
        </row>
        <row r="577">
          <cell r="A577">
            <v>45979</v>
          </cell>
          <cell r="H577" t="str">
            <v>AUTOPAY SPÓŁKA AKCYJNA UL.POWSTAŃCÓW WARSZAWY 6</v>
          </cell>
          <cell r="N577">
            <v>739.85</v>
          </cell>
        </row>
        <row r="578">
          <cell r="A578">
            <v>45979</v>
          </cell>
          <cell r="H578" t="str">
            <v>DARTRADE DARIA WRUKOWSKA</v>
          </cell>
          <cell r="N578">
            <v>6000</v>
          </cell>
        </row>
        <row r="579">
          <cell r="A579">
            <v>45978</v>
          </cell>
          <cell r="H579" t="str">
            <v>MAGDALENA BŁASZKOWSKA</v>
          </cell>
          <cell r="N579">
            <v>243.2</v>
          </cell>
        </row>
        <row r="580">
          <cell r="A580">
            <v>45978</v>
          </cell>
          <cell r="H580" t="str">
            <v>KAMILA GUROWSKA</v>
          </cell>
          <cell r="N580">
            <v>190.91</v>
          </cell>
        </row>
        <row r="581">
          <cell r="A581">
            <v>45978</v>
          </cell>
          <cell r="H581" t="str">
            <v>AUTOPAY SPÓŁKA AKCYJNA UL.POWSTAŃCÓW WARSZAWY 6</v>
          </cell>
          <cell r="N581">
            <v>452</v>
          </cell>
        </row>
        <row r="582">
          <cell r="A582">
            <v>45978</v>
          </cell>
          <cell r="H582" t="str">
            <v>WRÓBEL MAŁGORZATA</v>
          </cell>
          <cell r="N582">
            <v>220</v>
          </cell>
        </row>
        <row r="583">
          <cell r="A583">
            <v>45978</v>
          </cell>
          <cell r="H583" t="str">
            <v>AUTOPAY SPÓŁKA AKCYJNA UL.POWSTAŃCÓW WARSZAWY 6</v>
          </cell>
          <cell r="N583">
            <v>520.79999999999995</v>
          </cell>
        </row>
        <row r="584">
          <cell r="A584">
            <v>45978</v>
          </cell>
          <cell r="H584" t="str">
            <v>MONIKA A MARASZEK UL. NIEPODLEGŁOŚC I 4 82-550 PRABUTY MONIKA A MARASZE</v>
          </cell>
          <cell r="N584">
            <v>319</v>
          </cell>
        </row>
        <row r="585">
          <cell r="A585">
            <v>45978</v>
          </cell>
          <cell r="H585" t="str">
            <v>AUTOPAY SPÓŁKA AKCYJNA UL.POWSTAŃCÓW WARSZAWY 6</v>
          </cell>
          <cell r="N585">
            <v>759.29</v>
          </cell>
        </row>
        <row r="586">
          <cell r="A586">
            <v>45977</v>
          </cell>
          <cell r="H586" t="str">
            <v/>
          </cell>
          <cell r="N586">
            <v>0</v>
          </cell>
        </row>
        <row r="587">
          <cell r="A587">
            <v>45976</v>
          </cell>
          <cell r="H587" t="str">
            <v/>
          </cell>
          <cell r="N587">
            <v>0</v>
          </cell>
        </row>
        <row r="588">
          <cell r="A588">
            <v>45975</v>
          </cell>
          <cell r="H588" t="str">
            <v>AUTOPAY SPÓŁKA AKCYJNA UL.POWSTAŃCÓW WARSZAWY 6</v>
          </cell>
          <cell r="N588">
            <v>1893.93</v>
          </cell>
        </row>
        <row r="589">
          <cell r="A589">
            <v>45975</v>
          </cell>
          <cell r="H589" t="str">
            <v/>
          </cell>
          <cell r="N589">
            <v>0</v>
          </cell>
        </row>
        <row r="590">
          <cell r="A590">
            <v>45975</v>
          </cell>
          <cell r="H590" t="str">
            <v/>
          </cell>
          <cell r="N590">
            <v>0</v>
          </cell>
        </row>
        <row r="591">
          <cell r="A591">
            <v>45975</v>
          </cell>
          <cell r="H591" t="str">
            <v/>
          </cell>
          <cell r="N591">
            <v>0</v>
          </cell>
        </row>
        <row r="592">
          <cell r="A592">
            <v>45975</v>
          </cell>
          <cell r="H592" t="str">
            <v/>
          </cell>
          <cell r="N592">
            <v>0</v>
          </cell>
        </row>
        <row r="593">
          <cell r="A593">
            <v>45975</v>
          </cell>
          <cell r="H593" t="str">
            <v/>
          </cell>
          <cell r="N593">
            <v>0</v>
          </cell>
        </row>
        <row r="594">
          <cell r="A594">
            <v>45975</v>
          </cell>
          <cell r="H594" t="str">
            <v/>
          </cell>
          <cell r="N594">
            <v>0</v>
          </cell>
        </row>
        <row r="595">
          <cell r="A595">
            <v>45975</v>
          </cell>
          <cell r="H595" t="str">
            <v>TRZEBIATOWSKA-MACIEJKO EWA</v>
          </cell>
          <cell r="N595">
            <v>284.44</v>
          </cell>
        </row>
        <row r="596">
          <cell r="A596">
            <v>45975</v>
          </cell>
          <cell r="H596" t="str">
            <v>BEATA MARIA KUHNWALD</v>
          </cell>
          <cell r="N596">
            <v>224.96</v>
          </cell>
        </row>
        <row r="597">
          <cell r="A597">
            <v>45975</v>
          </cell>
          <cell r="H597" t="str">
            <v>RAFAŁ JANUSZ MATUKIEWICZ GEN. WARAKSIEWICZA 9</v>
          </cell>
          <cell r="N597">
            <v>235.6</v>
          </cell>
        </row>
        <row r="598">
          <cell r="A598">
            <v>45974</v>
          </cell>
          <cell r="H598" t="str">
            <v>ŁUKASZ MARCIN TARCHANOW</v>
          </cell>
          <cell r="N598">
            <v>322.67</v>
          </cell>
        </row>
        <row r="599">
          <cell r="A599">
            <v>45974</v>
          </cell>
          <cell r="H599" t="str">
            <v>LR HEALTH&amp;BEAUTY SYSTEMS SP. Z O O.</v>
          </cell>
          <cell r="N599">
            <v>1357.78</v>
          </cell>
        </row>
        <row r="600">
          <cell r="A600">
            <v>45974</v>
          </cell>
          <cell r="H600" t="str">
            <v>JOANNA MAŁGORZATA WIĘCZKOWSKA WYSZYŃSKIEGO 37A M 40</v>
          </cell>
          <cell r="N600">
            <v>190.91</v>
          </cell>
        </row>
        <row r="601">
          <cell r="A601">
            <v>45974</v>
          </cell>
          <cell r="H601" t="str">
            <v>AUTOPAY SPÓŁKA AKCYJNA UL.POWSTAŃCÓW WARSZAWY 6</v>
          </cell>
          <cell r="N601">
            <v>692.85</v>
          </cell>
        </row>
        <row r="602">
          <cell r="A602">
            <v>45974</v>
          </cell>
          <cell r="H602" t="str">
            <v>ŁUKASZEWSKA SYLWIA</v>
          </cell>
          <cell r="N602">
            <v>300.02</v>
          </cell>
        </row>
        <row r="603">
          <cell r="A603">
            <v>45973</v>
          </cell>
          <cell r="H603" t="str">
            <v/>
          </cell>
          <cell r="N603">
            <v>0</v>
          </cell>
        </row>
        <row r="604">
          <cell r="A604">
            <v>45973</v>
          </cell>
          <cell r="H604" t="str">
            <v>KINGA ZIELIŃSKA</v>
          </cell>
          <cell r="N604">
            <v>244.89</v>
          </cell>
        </row>
        <row r="605">
          <cell r="A605">
            <v>45973</v>
          </cell>
          <cell r="H605" t="str">
            <v>AUTOPAY SPÓŁKA AKCYJNA UL.POWSTAŃCÓW WARSZAWY 6</v>
          </cell>
          <cell r="N605">
            <v>1640.52</v>
          </cell>
        </row>
        <row r="606">
          <cell r="A606">
            <v>45973</v>
          </cell>
          <cell r="H606" t="str">
            <v>AUTOPAY SPÓŁKA AKCYJNA UL.POWSTAŃCÓW WARSZAWY 6</v>
          </cell>
          <cell r="N606">
            <v>2408.9699999999998</v>
          </cell>
        </row>
        <row r="607">
          <cell r="A607">
            <v>45973</v>
          </cell>
          <cell r="H607" t="str">
            <v>GABINET PSYCHOTERAPII UZALEŻNIEŃ I WSPÓŁUZALEŻNIENIA EWA KACPERSKA</v>
          </cell>
          <cell r="N607">
            <v>191.91</v>
          </cell>
        </row>
        <row r="608">
          <cell r="A608">
            <v>45973</v>
          </cell>
          <cell r="H608" t="str">
            <v>MARZENA SZYMAŃSKA SAMPŁAWA 40</v>
          </cell>
          <cell r="N608">
            <v>203.87</v>
          </cell>
        </row>
        <row r="609">
          <cell r="A609">
            <v>45973</v>
          </cell>
          <cell r="H609" t="str">
            <v/>
          </cell>
          <cell r="N609">
            <v>0</v>
          </cell>
        </row>
        <row r="610">
          <cell r="A610">
            <v>45973</v>
          </cell>
          <cell r="H610" t="str">
            <v/>
          </cell>
          <cell r="N610">
            <v>0</v>
          </cell>
        </row>
        <row r="611">
          <cell r="A611">
            <v>45973</v>
          </cell>
          <cell r="H611" t="str">
            <v/>
          </cell>
          <cell r="N611">
            <v>0</v>
          </cell>
        </row>
        <row r="612">
          <cell r="A612">
            <v>45972</v>
          </cell>
          <cell r="H612" t="str">
            <v>TOMASZ JERZY ROSIŃSKI</v>
          </cell>
          <cell r="N612">
            <v>235.6</v>
          </cell>
        </row>
        <row r="613">
          <cell r="A613">
            <v>45971</v>
          </cell>
          <cell r="H613" t="str">
            <v>AUTOPAY SPÓŁKA AKCYJNA UL.POWSTAŃCÓW WARSZAWY 6</v>
          </cell>
          <cell r="N613">
            <v>516.89</v>
          </cell>
        </row>
        <row r="614">
          <cell r="A614">
            <v>45971</v>
          </cell>
          <cell r="H614" t="str">
            <v>AUTOPAY SPÓŁKA AKCYJNA UL.POWSTAŃCÓW WARSZAWY 6</v>
          </cell>
          <cell r="N614">
            <v>216.88</v>
          </cell>
        </row>
        <row r="615">
          <cell r="A615">
            <v>45971</v>
          </cell>
          <cell r="H615" t="str">
            <v>BOJANOWSKA ANETA LASECZNO MAŁE 79</v>
          </cell>
          <cell r="N615">
            <v>232</v>
          </cell>
        </row>
        <row r="616">
          <cell r="A616">
            <v>45971</v>
          </cell>
          <cell r="H616" t="str">
            <v>Agnieszka Szymańska</v>
          </cell>
          <cell r="N616">
            <v>244.89</v>
          </cell>
        </row>
        <row r="617">
          <cell r="A617">
            <v>45971</v>
          </cell>
          <cell r="H617" t="str">
            <v>PATRYCJA KAMILA MACIEJEWSKA</v>
          </cell>
          <cell r="N617">
            <v>497.71</v>
          </cell>
        </row>
        <row r="618">
          <cell r="A618">
            <v>45968</v>
          </cell>
          <cell r="H618" t="str">
            <v>AUTOPAY SPÓŁKA AKCYJNA UL.POWSTAŃCÓW WARSZAWY 6</v>
          </cell>
          <cell r="N618">
            <v>1007.78</v>
          </cell>
        </row>
        <row r="619">
          <cell r="A619">
            <v>45968</v>
          </cell>
          <cell r="H619" t="str">
            <v xml:space="preserve">KOCHANOWSKA IWONA </v>
          </cell>
          <cell r="N619">
            <v>367.84</v>
          </cell>
        </row>
        <row r="620">
          <cell r="A620">
            <v>45968</v>
          </cell>
          <cell r="H620" t="str">
            <v>WALDEMAR KLIMIK</v>
          </cell>
          <cell r="N620">
            <v>224.96</v>
          </cell>
        </row>
        <row r="621">
          <cell r="A621">
            <v>45968</v>
          </cell>
          <cell r="H621" t="str">
            <v>WALDEMAR KLIMIK</v>
          </cell>
          <cell r="N621">
            <v>220.4</v>
          </cell>
        </row>
        <row r="622">
          <cell r="A622">
            <v>45967</v>
          </cell>
          <cell r="H622" t="str">
            <v>BOŻENA CHRAPKOWSKA</v>
          </cell>
          <cell r="N622">
            <v>262.5</v>
          </cell>
        </row>
        <row r="623">
          <cell r="A623">
            <v>45967</v>
          </cell>
          <cell r="H623" t="str">
            <v/>
          </cell>
          <cell r="N623">
            <v>0</v>
          </cell>
        </row>
        <row r="624">
          <cell r="A624">
            <v>45967</v>
          </cell>
          <cell r="H624" t="str">
            <v/>
          </cell>
          <cell r="N624">
            <v>0</v>
          </cell>
        </row>
        <row r="625">
          <cell r="A625">
            <v>45967</v>
          </cell>
          <cell r="H625" t="str">
            <v/>
          </cell>
          <cell r="N625">
            <v>0</v>
          </cell>
        </row>
        <row r="626">
          <cell r="A626">
            <v>45967</v>
          </cell>
          <cell r="H626" t="str">
            <v>LUBIENIECKA M I LUBIENIECKI M UL. KOLOROWA 17</v>
          </cell>
          <cell r="N626">
            <v>235.6</v>
          </cell>
        </row>
        <row r="627">
          <cell r="A627">
            <v>45967</v>
          </cell>
          <cell r="H627" t="str">
            <v>AUTOPAY SPÓŁKA AKCYJNA UL. POWSTAŃC ÓW WARSZAWY 6 81-718 SOPOT</v>
          </cell>
          <cell r="N627">
            <v>218.4</v>
          </cell>
        </row>
        <row r="628">
          <cell r="A628">
            <v>45966</v>
          </cell>
          <cell r="H628" t="str">
            <v>AUTOPAY SPÓŁKA AKCYJNA UL.POWSTAŃCÓW WARSZAWY 6</v>
          </cell>
          <cell r="N628">
            <v>318</v>
          </cell>
        </row>
        <row r="629">
          <cell r="A629">
            <v>45965</v>
          </cell>
          <cell r="H629" t="str">
            <v>AUTOPAY SPÓŁKA AKCYJNA UL.POWSTAŃCÓW WARSZAWY 6</v>
          </cell>
          <cell r="N629">
            <v>752.25</v>
          </cell>
        </row>
        <row r="630">
          <cell r="A630">
            <v>45965</v>
          </cell>
          <cell r="H630" t="str">
            <v>MAREK KLIMIK PIASTOWSKA 6/38</v>
          </cell>
          <cell r="N630">
            <v>367.84</v>
          </cell>
        </row>
        <row r="631">
          <cell r="A631">
            <v>45965</v>
          </cell>
          <cell r="H631" t="str">
            <v>ILONA TERESA PATURALSKA</v>
          </cell>
          <cell r="N631">
            <v>312.89</v>
          </cell>
        </row>
        <row r="632">
          <cell r="A632">
            <v>45964</v>
          </cell>
          <cell r="H632" t="str">
            <v>EMILIA MARIA PIECUCH</v>
          </cell>
          <cell r="N632">
            <v>243.2</v>
          </cell>
        </row>
        <row r="633">
          <cell r="A633">
            <v>45964</v>
          </cell>
          <cell r="H633" t="str">
            <v/>
          </cell>
          <cell r="N633">
            <v>0</v>
          </cell>
        </row>
        <row r="634">
          <cell r="A634">
            <v>45964</v>
          </cell>
          <cell r="H634" t="str">
            <v/>
          </cell>
          <cell r="N634">
            <v>0</v>
          </cell>
        </row>
        <row r="635">
          <cell r="A635">
            <v>45964</v>
          </cell>
          <cell r="H635" t="str">
            <v/>
          </cell>
          <cell r="N635">
            <v>0</v>
          </cell>
        </row>
        <row r="636">
          <cell r="A636">
            <v>45964</v>
          </cell>
          <cell r="H636" t="str">
            <v>ŁUKASZ NOWAK</v>
          </cell>
          <cell r="N636">
            <v>291.56</v>
          </cell>
        </row>
        <row r="637">
          <cell r="A637">
            <v>45964</v>
          </cell>
          <cell r="H637" t="str">
            <v>ŁUKASZ NOWAK</v>
          </cell>
          <cell r="N637">
            <v>283.56</v>
          </cell>
        </row>
        <row r="638">
          <cell r="A638">
            <v>45964</v>
          </cell>
          <cell r="H638" t="str">
            <v>AUTOPAY SPÓŁKA AKCYJNA UL.POWSTAŃCÓW WARSZAWY 6</v>
          </cell>
          <cell r="N638">
            <v>206.8</v>
          </cell>
        </row>
        <row r="639">
          <cell r="A639">
            <v>45964</v>
          </cell>
          <cell r="H639" t="str">
            <v>MAŁKIEWICZ AGNIESZKA WIELKI GŁĘBOCZ EK 4 87-313 WIELKI GŁĘBOCZEK</v>
          </cell>
          <cell r="N639">
            <v>220.4</v>
          </cell>
        </row>
        <row r="640">
          <cell r="A640">
            <v>45964</v>
          </cell>
          <cell r="H640" t="str">
            <v>AUTOPAY SPÓŁKA AKCYJNA UL.POWSTAŃCÓW WARSZAWY 6</v>
          </cell>
          <cell r="N640">
            <v>1431.47</v>
          </cell>
        </row>
        <row r="641">
          <cell r="A641">
            <v>45964</v>
          </cell>
          <cell r="H641" t="str">
            <v>MARTA KUŹNIEWSKA KSIĘŻNEJ DOBRAWY 21 A</v>
          </cell>
          <cell r="N641">
            <v>232</v>
          </cell>
        </row>
        <row r="642">
          <cell r="A642">
            <v>45963</v>
          </cell>
          <cell r="H642" t="str">
            <v>TOMASZ TYC</v>
          </cell>
          <cell r="N642">
            <v>208.8</v>
          </cell>
        </row>
        <row r="643">
          <cell r="A643">
            <v>45962</v>
          </cell>
          <cell r="H643" t="str">
            <v>ANNA WARMIŃSKA</v>
          </cell>
          <cell r="N643">
            <v>220.4</v>
          </cell>
        </row>
        <row r="644">
          <cell r="A644">
            <v>45960</v>
          </cell>
          <cell r="H644" t="str">
            <v/>
          </cell>
          <cell r="N644">
            <v>0</v>
          </cell>
        </row>
        <row r="645">
          <cell r="A645">
            <v>45960</v>
          </cell>
          <cell r="H645" t="str">
            <v/>
          </cell>
          <cell r="N645">
            <v>0</v>
          </cell>
        </row>
        <row r="646">
          <cell r="A646">
            <v>45960</v>
          </cell>
          <cell r="H646" t="str">
            <v/>
          </cell>
          <cell r="N646">
            <v>0</v>
          </cell>
        </row>
        <row r="647">
          <cell r="A647">
            <v>45960</v>
          </cell>
          <cell r="H647" t="str">
            <v>AUTOPAY SPÓŁKA AKCYJNA UL.POWSTAŃCÓW WARSZAWY 6</v>
          </cell>
          <cell r="N647">
            <v>1158</v>
          </cell>
        </row>
        <row r="648">
          <cell r="A648">
            <v>45959</v>
          </cell>
          <cell r="H648" t="str">
            <v>AUTOPAY SPÓŁKA AKCYJNA UL.POWSTAŃCÓW WARSZAWY 6</v>
          </cell>
          <cell r="N648">
            <v>529.20000000000005</v>
          </cell>
        </row>
        <row r="649">
          <cell r="A649">
            <v>45959</v>
          </cell>
          <cell r="H649" t="str">
            <v>BAJOR MICHAŁ</v>
          </cell>
          <cell r="N649">
            <v>350.9</v>
          </cell>
        </row>
        <row r="650">
          <cell r="A650">
            <v>45958</v>
          </cell>
          <cell r="H650" t="str">
            <v>HANNA MARIA GAMALSKA</v>
          </cell>
          <cell r="N650">
            <v>445.36</v>
          </cell>
        </row>
        <row r="651">
          <cell r="A651">
            <v>45958</v>
          </cell>
          <cell r="H651" t="str">
            <v>AUTOPAY SPÓŁKA AKCYJNA UL.POWSTAŃCÓW WARSZAWY 6</v>
          </cell>
          <cell r="N651">
            <v>230</v>
          </cell>
        </row>
        <row r="652">
          <cell r="A652">
            <v>45957</v>
          </cell>
          <cell r="H652" t="str">
            <v>AUTOPAY SPÓŁKA AKCYJNA UL.POWSTAŃCÓW WARSZAWY 6</v>
          </cell>
          <cell r="N652">
            <v>230</v>
          </cell>
        </row>
        <row r="653">
          <cell r="A653">
            <v>45957</v>
          </cell>
          <cell r="H653" t="str">
            <v>AUTOPAY SPÓŁKA AKCYJNA UL.POWSTAŃCÓW WARSZAWY 6</v>
          </cell>
          <cell r="N653">
            <v>426.86</v>
          </cell>
        </row>
        <row r="654">
          <cell r="A654">
            <v>45957</v>
          </cell>
          <cell r="H654" t="str">
            <v/>
          </cell>
          <cell r="N654">
            <v>0</v>
          </cell>
        </row>
        <row r="655">
          <cell r="A655">
            <v>45954</v>
          </cell>
          <cell r="H655" t="str">
            <v>ŚWIĘCKI SŁAWOMIR</v>
          </cell>
          <cell r="N655">
            <v>220.4</v>
          </cell>
        </row>
        <row r="656">
          <cell r="A656">
            <v>45954</v>
          </cell>
          <cell r="H656" t="str">
            <v>WIOLETTA BORUCKA</v>
          </cell>
          <cell r="N656">
            <v>232</v>
          </cell>
        </row>
        <row r="657">
          <cell r="A657">
            <v>45953</v>
          </cell>
          <cell r="H657" t="str">
            <v/>
          </cell>
          <cell r="N657">
            <v>0</v>
          </cell>
        </row>
        <row r="658">
          <cell r="A658">
            <v>45953</v>
          </cell>
          <cell r="H658" t="str">
            <v/>
          </cell>
          <cell r="N658">
            <v>0</v>
          </cell>
        </row>
        <row r="659">
          <cell r="A659">
            <v>45953</v>
          </cell>
          <cell r="H659" t="str">
            <v>AUTOPAY SPÓŁKA AKCYJNA UL.POWSTAŃCÓW WARSZAWY 6</v>
          </cell>
          <cell r="N659">
            <v>241.2</v>
          </cell>
        </row>
        <row r="660">
          <cell r="A660">
            <v>45953</v>
          </cell>
          <cell r="H660" t="str">
            <v>ANETA ELŻBIETA NAWORSKA</v>
          </cell>
          <cell r="N660">
            <v>307.2</v>
          </cell>
        </row>
        <row r="661">
          <cell r="A661">
            <v>45951</v>
          </cell>
          <cell r="H661" t="str">
            <v>AUTOPAY SPÓŁKA AKCYJNA UL.POWSTAŃCÓW WARSZAWY 6</v>
          </cell>
          <cell r="N661">
            <v>283.56</v>
          </cell>
        </row>
        <row r="662">
          <cell r="A662">
            <v>45950</v>
          </cell>
          <cell r="H662" t="str">
            <v>AUTOPAY SPÓŁKA AKCYJNA UL.POWSTAŃCÓW WARSZAWY 6</v>
          </cell>
          <cell r="N662">
            <v>319</v>
          </cell>
        </row>
        <row r="663">
          <cell r="A663">
            <v>45950</v>
          </cell>
          <cell r="H663" t="str">
            <v>DOROTA ANNA UMIŃSKA</v>
          </cell>
          <cell r="N663">
            <v>248</v>
          </cell>
        </row>
        <row r="664">
          <cell r="A664">
            <v>45950</v>
          </cell>
          <cell r="H664" t="str">
            <v>RAFAŁ JANUSZ MATUKIEWICZ GEN. WARAKSIEWICZA 9</v>
          </cell>
          <cell r="N664">
            <v>235.6</v>
          </cell>
        </row>
        <row r="665">
          <cell r="A665">
            <v>45947</v>
          </cell>
          <cell r="H665" t="str">
            <v>BEATA MARIA KUHNWALD</v>
          </cell>
          <cell r="N665">
            <v>224.96</v>
          </cell>
        </row>
        <row r="666">
          <cell r="A666">
            <v>45947</v>
          </cell>
          <cell r="H666" t="str">
            <v>AUTOPAY SPÓŁKA AKCYJNA UL.POWSTAŃCÓW WARSZAWY 6</v>
          </cell>
          <cell r="N666">
            <v>800.4</v>
          </cell>
        </row>
        <row r="667">
          <cell r="A667">
            <v>45947</v>
          </cell>
          <cell r="H667" t="str">
            <v>PIOTR OCHOCKI WIŚNIOWA 15</v>
          </cell>
          <cell r="N667">
            <v>1500</v>
          </cell>
        </row>
        <row r="668">
          <cell r="A668">
            <v>45947</v>
          </cell>
          <cell r="H668" t="str">
            <v>BOGDAN KRAWCZYK UL. STAROWIEJSKA 20 13-306 MARZĘCICE BOGDAN KRAWCZYK U</v>
          </cell>
          <cell r="N668">
            <v>303.05</v>
          </cell>
        </row>
        <row r="669">
          <cell r="A669">
            <v>45947</v>
          </cell>
          <cell r="H669" t="str">
            <v>BOGDAN KRAWCZYK UL. STAROWIEJSKA 20 13-306 MARZĘCICE BOGDAN KRAWCZYK U</v>
          </cell>
          <cell r="N669">
            <v>440.8</v>
          </cell>
        </row>
        <row r="670">
          <cell r="A670">
            <v>45946</v>
          </cell>
          <cell r="H670" t="str">
            <v>WRÓBEL MAŁGORZATA</v>
          </cell>
          <cell r="N670">
            <v>430</v>
          </cell>
        </row>
        <row r="671">
          <cell r="A671">
            <v>45946</v>
          </cell>
          <cell r="H671" t="str">
            <v>BOŻENA CHRAPKOWSKA</v>
          </cell>
          <cell r="N671">
            <v>262.5</v>
          </cell>
        </row>
        <row r="672">
          <cell r="A672">
            <v>45946</v>
          </cell>
          <cell r="H672" t="str">
            <v>AUTOPAY SPÓŁKA AKCYJNA UL.POWSTAŃCÓW WARSZAWY 6</v>
          </cell>
          <cell r="N672">
            <v>594.49</v>
          </cell>
        </row>
        <row r="673">
          <cell r="A673">
            <v>45946</v>
          </cell>
          <cell r="H673" t="str">
            <v>EPRO SP. Z O.O. UL. MIKOŁAJSKA NR 25</v>
          </cell>
          <cell r="N673">
            <v>1428</v>
          </cell>
        </row>
        <row r="674">
          <cell r="A674">
            <v>45945</v>
          </cell>
          <cell r="H674" t="str">
            <v>MAGDALENA BŁASZKOWSKA</v>
          </cell>
          <cell r="N674">
            <v>243.2</v>
          </cell>
        </row>
        <row r="675">
          <cell r="A675">
            <v>45945</v>
          </cell>
          <cell r="H675" t="str">
            <v>AUTOPAY SPÓŁKA AKCYJNA UL.POWSTAŃCÓW WARSZAWY 6</v>
          </cell>
          <cell r="N675">
            <v>746.94</v>
          </cell>
        </row>
        <row r="676">
          <cell r="A676">
            <v>45945</v>
          </cell>
          <cell r="H676" t="str">
            <v/>
          </cell>
          <cell r="N676">
            <v>0</v>
          </cell>
        </row>
        <row r="677">
          <cell r="A677">
            <v>45945</v>
          </cell>
          <cell r="H677" t="str">
            <v/>
          </cell>
          <cell r="N677">
            <v>0</v>
          </cell>
        </row>
        <row r="678">
          <cell r="A678">
            <v>45944</v>
          </cell>
          <cell r="H678" t="str">
            <v>AUTOPAY SPÓŁKA AKCYJNA UL.POWSTAŃCÓW WARSZAWY 6</v>
          </cell>
          <cell r="N678">
            <v>1496.13</v>
          </cell>
        </row>
        <row r="679">
          <cell r="A679">
            <v>45944</v>
          </cell>
          <cell r="H679" t="str">
            <v>JOANNA MAŁGORZATA WIĘCZKOWSKA WYSZYŃSKIEGO 37A M 40</v>
          </cell>
          <cell r="N679">
            <v>190.91</v>
          </cell>
        </row>
        <row r="680">
          <cell r="A680">
            <v>45944</v>
          </cell>
          <cell r="H680" t="str">
            <v>CONSULTING ML LTD</v>
          </cell>
          <cell r="N680">
            <v>981.7</v>
          </cell>
        </row>
        <row r="681">
          <cell r="A681">
            <v>45944</v>
          </cell>
          <cell r="H681" t="str">
            <v>TRZEBIATOWSKA-MACIEJKO EWA</v>
          </cell>
          <cell r="N681">
            <v>284.44</v>
          </cell>
        </row>
        <row r="682">
          <cell r="A682">
            <v>45944</v>
          </cell>
          <cell r="H682" t="str">
            <v>ŁUKASZEWSKA SYLWIA</v>
          </cell>
          <cell r="N682">
            <v>300.02</v>
          </cell>
        </row>
        <row r="683">
          <cell r="A683">
            <v>45944</v>
          </cell>
          <cell r="H683" t="str">
            <v>MARZENA SZYMAŃSKA SAMPŁAWA 40</v>
          </cell>
          <cell r="N683">
            <v>203.87</v>
          </cell>
        </row>
        <row r="684">
          <cell r="A684">
            <v>45944</v>
          </cell>
          <cell r="H684" t="str">
            <v/>
          </cell>
          <cell r="N684">
            <v>0</v>
          </cell>
        </row>
        <row r="685">
          <cell r="A685">
            <v>45944</v>
          </cell>
          <cell r="H685" t="str">
            <v/>
          </cell>
          <cell r="N685">
            <v>0</v>
          </cell>
        </row>
        <row r="686">
          <cell r="A686">
            <v>45943</v>
          </cell>
          <cell r="H686" t="str">
            <v>AUTOPAY SPÓŁKA AKCYJNA UL.POWSTAŃCÓW WARSZAWY 6</v>
          </cell>
          <cell r="N686">
            <v>1491.14</v>
          </cell>
        </row>
        <row r="687">
          <cell r="A687">
            <v>45943</v>
          </cell>
          <cell r="H687" t="str">
            <v>PATRYCJA KAMILA MACIEJEWSKA</v>
          </cell>
          <cell r="N687">
            <v>497.71</v>
          </cell>
        </row>
        <row r="688">
          <cell r="A688">
            <v>45943</v>
          </cell>
          <cell r="H688" t="str">
            <v>AUTOPAY SPÓŁKA AKCYJNA UL.POWSTAŃCÓW WARSZAWY 6</v>
          </cell>
          <cell r="N688">
            <v>1846.03</v>
          </cell>
        </row>
        <row r="689">
          <cell r="A689">
            <v>45943</v>
          </cell>
          <cell r="H689" t="str">
            <v>AUTOPAY SPÓŁKA AKCYJNA UL.POWSTAŃCÓW WARSZAWY 6</v>
          </cell>
          <cell r="N689">
            <v>884.36</v>
          </cell>
        </row>
        <row r="690">
          <cell r="A690">
            <v>45943</v>
          </cell>
          <cell r="H690" t="str">
            <v>Agnieszka Szymańska</v>
          </cell>
          <cell r="N690">
            <v>244.89</v>
          </cell>
        </row>
        <row r="691">
          <cell r="A691">
            <v>45943</v>
          </cell>
          <cell r="H691" t="str">
            <v>WALDEMAR KLIMIK</v>
          </cell>
          <cell r="N691">
            <v>220.4</v>
          </cell>
        </row>
        <row r="692">
          <cell r="A692">
            <v>45943</v>
          </cell>
          <cell r="H692" t="str">
            <v>WALDEMAR KLIMIK</v>
          </cell>
          <cell r="N692">
            <v>224.96</v>
          </cell>
        </row>
        <row r="693">
          <cell r="A693">
            <v>45942</v>
          </cell>
          <cell r="H693" t="str">
            <v>KINGA ZIELIŃSKA</v>
          </cell>
          <cell r="N693">
            <v>244.89</v>
          </cell>
        </row>
        <row r="694">
          <cell r="A694">
            <v>45941</v>
          </cell>
          <cell r="H694" t="str">
            <v>GABINET PSYCHOTERAPII UZALEŻNIEŃ I WSPÓŁUZALEŻNIENIA EWA KACPERSKA</v>
          </cell>
          <cell r="N694">
            <v>191.91</v>
          </cell>
        </row>
        <row r="695">
          <cell r="A695">
            <v>45940</v>
          </cell>
          <cell r="H695" t="str">
            <v>TOMASZ JERZY ROSIŃSKI</v>
          </cell>
          <cell r="N695">
            <v>235.6</v>
          </cell>
        </row>
        <row r="696">
          <cell r="A696">
            <v>45940</v>
          </cell>
          <cell r="H696" t="str">
            <v>LR HEALTH&amp;BEAUTY SYSTEMS SP. Z O O.</v>
          </cell>
          <cell r="N696">
            <v>1352.98</v>
          </cell>
        </row>
        <row r="697">
          <cell r="A697">
            <v>45940</v>
          </cell>
          <cell r="H697" t="str">
            <v>AUTOPAY SPÓŁKA AKCYJNA UL.POWSTAŃCÓW WARSZAWY 6</v>
          </cell>
          <cell r="N697">
            <v>768.89</v>
          </cell>
        </row>
        <row r="698">
          <cell r="A698">
            <v>45940</v>
          </cell>
          <cell r="H698" t="str">
            <v>BOJANOWSKA ANETA LASECZNO MAŁE 79</v>
          </cell>
          <cell r="N698">
            <v>232</v>
          </cell>
        </row>
        <row r="699">
          <cell r="A699">
            <v>45940</v>
          </cell>
          <cell r="H699" t="str">
            <v xml:space="preserve">KOCHANOWSKA IWONA </v>
          </cell>
          <cell r="N699">
            <v>367.84</v>
          </cell>
        </row>
        <row r="700">
          <cell r="A700">
            <v>45940</v>
          </cell>
          <cell r="H700" t="str">
            <v/>
          </cell>
          <cell r="N700">
            <v>0</v>
          </cell>
        </row>
        <row r="701">
          <cell r="A701">
            <v>45940</v>
          </cell>
          <cell r="H701" t="str">
            <v/>
          </cell>
          <cell r="N701">
            <v>0</v>
          </cell>
        </row>
        <row r="702">
          <cell r="A702">
            <v>45940</v>
          </cell>
          <cell r="H702" t="str">
            <v/>
          </cell>
          <cell r="N702">
            <v>0</v>
          </cell>
        </row>
        <row r="703">
          <cell r="A703">
            <v>45940</v>
          </cell>
          <cell r="H703" t="str">
            <v/>
          </cell>
          <cell r="N703">
            <v>0</v>
          </cell>
        </row>
        <row r="704">
          <cell r="A704">
            <v>45940</v>
          </cell>
          <cell r="H704" t="str">
            <v/>
          </cell>
          <cell r="N704">
            <v>0</v>
          </cell>
        </row>
        <row r="705">
          <cell r="A705">
            <v>45940</v>
          </cell>
          <cell r="H705" t="str">
            <v/>
          </cell>
          <cell r="N705">
            <v>0</v>
          </cell>
        </row>
        <row r="706">
          <cell r="A706">
            <v>45940</v>
          </cell>
          <cell r="H706" t="str">
            <v/>
          </cell>
          <cell r="N706">
            <v>0</v>
          </cell>
        </row>
        <row r="707">
          <cell r="A707">
            <v>45940</v>
          </cell>
          <cell r="H707" t="str">
            <v/>
          </cell>
          <cell r="N707">
            <v>0</v>
          </cell>
        </row>
        <row r="708">
          <cell r="A708">
            <v>45939</v>
          </cell>
          <cell r="H708" t="str">
            <v>AUTOPAY SPÓŁKA AKCYJNA UL.POWSTAŃCÓW WARSZAWY 6</v>
          </cell>
          <cell r="N708">
            <v>440.8</v>
          </cell>
        </row>
        <row r="709">
          <cell r="A709">
            <v>45939</v>
          </cell>
          <cell r="H709" t="str">
            <v/>
          </cell>
          <cell r="N709">
            <v>0</v>
          </cell>
        </row>
        <row r="710">
          <cell r="A710">
            <v>45938</v>
          </cell>
          <cell r="H710" t="str">
            <v>HANNA MARIA GAMALSKA</v>
          </cell>
          <cell r="N710">
            <v>445.36</v>
          </cell>
        </row>
        <row r="711">
          <cell r="A711">
            <v>45938</v>
          </cell>
          <cell r="H711" t="str">
            <v>ILONA TERESA PATURALSKA</v>
          </cell>
          <cell r="N711">
            <v>312.89</v>
          </cell>
        </row>
        <row r="712">
          <cell r="A712">
            <v>45938</v>
          </cell>
          <cell r="H712" t="str">
            <v/>
          </cell>
          <cell r="N712">
            <v>0</v>
          </cell>
        </row>
        <row r="713">
          <cell r="A713">
            <v>45937</v>
          </cell>
          <cell r="H713" t="str">
            <v>LUBIENIECKA M I LUBIENIECKI M UL. KOLOROWA 17</v>
          </cell>
          <cell r="N713">
            <v>235.6</v>
          </cell>
        </row>
        <row r="714">
          <cell r="A714">
            <v>45937</v>
          </cell>
          <cell r="H714" t="str">
            <v>AUTOPAY SPÓŁKA AKCYJNA UL.POWSTAŃCÓW WARSZAWY 6</v>
          </cell>
          <cell r="N714">
            <v>1008.08</v>
          </cell>
        </row>
        <row r="715">
          <cell r="A715">
            <v>45937</v>
          </cell>
          <cell r="H715" t="str">
            <v>DUMKIEWICZ PAWEŁ I JOANNA</v>
          </cell>
          <cell r="N715">
            <v>388.6</v>
          </cell>
        </row>
        <row r="716">
          <cell r="A716">
            <v>45937</v>
          </cell>
          <cell r="H716" t="str">
            <v/>
          </cell>
          <cell r="N716">
            <v>0</v>
          </cell>
        </row>
        <row r="717">
          <cell r="A717">
            <v>45937</v>
          </cell>
          <cell r="H717" t="str">
            <v/>
          </cell>
          <cell r="N717">
            <v>0</v>
          </cell>
        </row>
        <row r="718">
          <cell r="A718">
            <v>45936</v>
          </cell>
          <cell r="H718" t="str">
            <v>AUTOPAY SPÓŁKA AKCYJNA UL.POWSTAŃCÓW WARSZAWY 6</v>
          </cell>
          <cell r="N718">
            <v>243.2</v>
          </cell>
        </row>
        <row r="719">
          <cell r="A719">
            <v>45936</v>
          </cell>
          <cell r="H719" t="str">
            <v>AUTOPAY SPÓŁKA AKCYJNA UL.POWSTAŃCÓW WARSZAWY 6</v>
          </cell>
          <cell r="N719">
            <v>565.20000000000005</v>
          </cell>
        </row>
        <row r="720">
          <cell r="A720">
            <v>45936</v>
          </cell>
          <cell r="H720" t="str">
            <v>AUTOPAY SPÓŁKA AKCYJNA UL.POWSTAŃCÓW WARSZAWY 6</v>
          </cell>
          <cell r="N720">
            <v>744.67</v>
          </cell>
        </row>
        <row r="721">
          <cell r="A721">
            <v>45936</v>
          </cell>
          <cell r="H721" t="str">
            <v>MAREK KLIMIK PIASTOWSKA 6/38</v>
          </cell>
          <cell r="N721">
            <v>367.84</v>
          </cell>
        </row>
        <row r="722">
          <cell r="A722">
            <v>45936</v>
          </cell>
          <cell r="H722" t="str">
            <v>JURKIEWICZ KAMIL JURKIEWICZ JUSTYNA GOSPODARSTWO ROLNE</v>
          </cell>
          <cell r="N722">
            <v>2188.8000000000002</v>
          </cell>
        </row>
        <row r="723">
          <cell r="A723">
            <v>45936</v>
          </cell>
          <cell r="H723" t="str">
            <v>TOMASZ TYC</v>
          </cell>
          <cell r="N723">
            <v>208.8</v>
          </cell>
        </row>
        <row r="724">
          <cell r="A724">
            <v>45934</v>
          </cell>
          <cell r="H724" t="str">
            <v/>
          </cell>
          <cell r="N724">
            <v>0</v>
          </cell>
        </row>
        <row r="725">
          <cell r="A725">
            <v>45933</v>
          </cell>
          <cell r="H725" t="str">
            <v>ŁUKASZ MARCIN TARCHANOW</v>
          </cell>
          <cell r="N725">
            <v>322.67</v>
          </cell>
        </row>
        <row r="726">
          <cell r="A726">
            <v>45933</v>
          </cell>
          <cell r="H726" t="str">
            <v>MAŁKIEWICZ AGNIESZKA WIELKI GŁĘBOCZ EK 4 87-313 WIELKI GŁĘBOCZEK</v>
          </cell>
          <cell r="N726">
            <v>220.4</v>
          </cell>
        </row>
        <row r="727">
          <cell r="A727">
            <v>45933</v>
          </cell>
          <cell r="H727" t="str">
            <v>AUTOPAY SPÓŁKA AKCYJNA UL.POWSTAŃCÓW WARSZAWY 6</v>
          </cell>
          <cell r="N727">
            <v>445.36</v>
          </cell>
        </row>
        <row r="728">
          <cell r="A728">
            <v>45933</v>
          </cell>
          <cell r="H728" t="str">
            <v>ANETA ELŻBIETA NAWORSKA</v>
          </cell>
          <cell r="N728">
            <v>307.2</v>
          </cell>
        </row>
        <row r="729">
          <cell r="A729">
            <v>45933</v>
          </cell>
          <cell r="H729" t="str">
            <v/>
          </cell>
          <cell r="N729">
            <v>0</v>
          </cell>
        </row>
        <row r="730">
          <cell r="A730">
            <v>45933</v>
          </cell>
          <cell r="H730" t="str">
            <v/>
          </cell>
          <cell r="N730">
            <v>0</v>
          </cell>
        </row>
        <row r="731">
          <cell r="A731">
            <v>45933</v>
          </cell>
          <cell r="H731" t="str">
            <v>KINGA ZIELIŃSKA</v>
          </cell>
          <cell r="N731">
            <v>244.89</v>
          </cell>
        </row>
        <row r="732">
          <cell r="A732">
            <v>45932</v>
          </cell>
          <cell r="H732" t="str">
            <v>AUTOPAY SPÓŁKA AKCYJNA UL.POWSTAŃCÓW WARSZAWY 6</v>
          </cell>
          <cell r="N732">
            <v>2173.79</v>
          </cell>
        </row>
        <row r="733">
          <cell r="A733">
            <v>45932</v>
          </cell>
          <cell r="H733" t="str">
            <v>MONIKA SZEFLER OBROŃCÓW WESTERPLATTE 2/11</v>
          </cell>
          <cell r="N733">
            <v>208.8</v>
          </cell>
        </row>
        <row r="734">
          <cell r="A734">
            <v>45932</v>
          </cell>
          <cell r="H734" t="str">
            <v>MONIKA SZEFLER OBROŃCÓW WESTERPLATTE 2/11</v>
          </cell>
          <cell r="N734">
            <v>208.8</v>
          </cell>
        </row>
        <row r="735">
          <cell r="A735">
            <v>45932</v>
          </cell>
          <cell r="H735" t="str">
            <v>ŁUKASZ NOWAK</v>
          </cell>
          <cell r="N735">
            <v>291.56</v>
          </cell>
        </row>
        <row r="736">
          <cell r="A736">
            <v>45932</v>
          </cell>
          <cell r="H736" t="str">
            <v>ŁUKASZ NOWAK</v>
          </cell>
          <cell r="N736">
            <v>283.56</v>
          </cell>
        </row>
        <row r="737">
          <cell r="A737">
            <v>45931</v>
          </cell>
          <cell r="H737" t="str">
            <v/>
          </cell>
          <cell r="N737">
            <v>0</v>
          </cell>
        </row>
        <row r="738">
          <cell r="A738">
            <v>45931</v>
          </cell>
          <cell r="H738" t="str">
            <v>MARTA KUŹNIEWSKA KSIĘŻNEJ DOBRAWY 21 A</v>
          </cell>
          <cell r="N738">
            <v>232</v>
          </cell>
        </row>
        <row r="739">
          <cell r="A739">
            <v>45931</v>
          </cell>
          <cell r="H739" t="str">
            <v>ANNA WARMIŃSKA</v>
          </cell>
          <cell r="N739">
            <v>220.4</v>
          </cell>
        </row>
        <row r="740">
          <cell r="A740">
            <v>45930</v>
          </cell>
          <cell r="H740" t="str">
            <v/>
          </cell>
          <cell r="N740">
            <v>0</v>
          </cell>
        </row>
        <row r="741">
          <cell r="A741">
            <v>45930</v>
          </cell>
          <cell r="H741" t="str">
            <v/>
          </cell>
          <cell r="N741">
            <v>0</v>
          </cell>
        </row>
        <row r="742">
          <cell r="A742">
            <v>45930</v>
          </cell>
          <cell r="H742" t="str">
            <v/>
          </cell>
          <cell r="N742">
            <v>0</v>
          </cell>
        </row>
        <row r="743">
          <cell r="A743">
            <v>45930</v>
          </cell>
          <cell r="H743" t="str">
            <v>AUTOPAY SPÓŁKA AKCYJNA UL.POWSTAŃCÓW WARSZAWY 6</v>
          </cell>
          <cell r="N743">
            <v>254.84</v>
          </cell>
        </row>
        <row r="744">
          <cell r="A744">
            <v>45930</v>
          </cell>
          <cell r="H744" t="str">
            <v>BEATA MARIA KUHNWALD</v>
          </cell>
          <cell r="N744">
            <v>224.96</v>
          </cell>
        </row>
        <row r="745">
          <cell r="A745">
            <v>45929</v>
          </cell>
          <cell r="H745" t="str">
            <v>AUTOPAY SPÓŁKA AKCYJNA UL.POWSTAŃCÓW WARSZAWY 6</v>
          </cell>
          <cell r="N745">
            <v>664.2</v>
          </cell>
        </row>
        <row r="746">
          <cell r="A746">
            <v>45929</v>
          </cell>
          <cell r="H746" t="str">
            <v>AUTOPAY SPÓŁKA AKCYJNA UL.POWSTAŃCÓW WARSZAWY 6</v>
          </cell>
          <cell r="N746">
            <v>719.65</v>
          </cell>
        </row>
        <row r="747">
          <cell r="A747">
            <v>45929</v>
          </cell>
          <cell r="H747" t="str">
            <v>BAJOR MICHAŁ</v>
          </cell>
          <cell r="N747">
            <v>350.9</v>
          </cell>
        </row>
        <row r="748">
          <cell r="A748">
            <v>45929</v>
          </cell>
          <cell r="H748" t="str">
            <v>RAFAŁ JANUSZ MATUKIEWICZ GEN. WARAKSIEWICZA 9</v>
          </cell>
          <cell r="N748">
            <v>235.6</v>
          </cell>
        </row>
        <row r="749">
          <cell r="A749">
            <v>45929</v>
          </cell>
          <cell r="H749" t="str">
            <v>HETNAR-WÓJCICKA ALINA BARBARA WÓJCI CKI MACIEJ ŁUKASZ</v>
          </cell>
          <cell r="N749">
            <v>160</v>
          </cell>
        </row>
        <row r="750">
          <cell r="A750">
            <v>45929</v>
          </cell>
          <cell r="H750" t="str">
            <v>BOGDAN KRAWCZYK UL. STAROWIEJSKA 20 13-306 MARZĘCICE BOGDAN KRAWCZYK U</v>
          </cell>
          <cell r="N750">
            <v>303.05</v>
          </cell>
        </row>
        <row r="751">
          <cell r="A751">
            <v>45929</v>
          </cell>
          <cell r="H751" t="str">
            <v>BOGDAN KRAWCZYK UL. STAROWIEJSKA 20 13-306 MARZĘCICE BOGDAN KRAWCZYK U</v>
          </cell>
          <cell r="N751">
            <v>440.8</v>
          </cell>
        </row>
        <row r="752">
          <cell r="A752">
            <v>45929</v>
          </cell>
          <cell r="H752" t="str">
            <v/>
          </cell>
          <cell r="N752">
            <v>0</v>
          </cell>
        </row>
        <row r="753">
          <cell r="A753">
            <v>45929</v>
          </cell>
          <cell r="H753" t="str">
            <v/>
          </cell>
          <cell r="N753">
            <v>0</v>
          </cell>
        </row>
        <row r="754">
          <cell r="A754">
            <v>45929</v>
          </cell>
          <cell r="H754" t="str">
            <v/>
          </cell>
          <cell r="N754">
            <v>0</v>
          </cell>
        </row>
        <row r="755">
          <cell r="A755">
            <v>45929</v>
          </cell>
          <cell r="H755" t="str">
            <v/>
          </cell>
          <cell r="N755">
            <v>0</v>
          </cell>
        </row>
        <row r="756">
          <cell r="A756">
            <v>45929</v>
          </cell>
          <cell r="H756" t="str">
            <v/>
          </cell>
          <cell r="N756">
            <v>0</v>
          </cell>
        </row>
        <row r="757">
          <cell r="A757">
            <v>45929</v>
          </cell>
          <cell r="H757" t="str">
            <v/>
          </cell>
          <cell r="N757">
            <v>0</v>
          </cell>
        </row>
        <row r="758">
          <cell r="A758">
            <v>45929</v>
          </cell>
          <cell r="H758" t="str">
            <v/>
          </cell>
          <cell r="N758">
            <v>0</v>
          </cell>
        </row>
        <row r="759">
          <cell r="A759">
            <v>45929</v>
          </cell>
          <cell r="H759" t="str">
            <v/>
          </cell>
          <cell r="N759">
            <v>0</v>
          </cell>
        </row>
        <row r="760">
          <cell r="A760">
            <v>45929</v>
          </cell>
          <cell r="H760" t="str">
            <v/>
          </cell>
          <cell r="N760">
            <v>0</v>
          </cell>
        </row>
        <row r="761">
          <cell r="A761">
            <v>45928</v>
          </cell>
          <cell r="H761" t="str">
            <v>EMILIA MARIA PIECUCH</v>
          </cell>
          <cell r="N761">
            <v>486.4</v>
          </cell>
        </row>
        <row r="762">
          <cell r="A762">
            <v>45927</v>
          </cell>
          <cell r="H762" t="str">
            <v/>
          </cell>
          <cell r="N762">
            <v>0</v>
          </cell>
        </row>
        <row r="763">
          <cell r="A763">
            <v>45926</v>
          </cell>
          <cell r="H763" t="str">
            <v>EWA ŁUCJA OSTROWSKA</v>
          </cell>
          <cell r="N763">
            <v>800</v>
          </cell>
        </row>
        <row r="764">
          <cell r="A764">
            <v>45926</v>
          </cell>
          <cell r="H764" t="str">
            <v>EWA ŁUCJA OSTROWSKA</v>
          </cell>
          <cell r="N764">
            <v>1040.01</v>
          </cell>
        </row>
        <row r="765">
          <cell r="A765">
            <v>45926</v>
          </cell>
          <cell r="H765" t="str">
            <v>EWA ŁUCJA OSTROWSKA</v>
          </cell>
          <cell r="N765">
            <v>1742.4</v>
          </cell>
        </row>
        <row r="766">
          <cell r="A766">
            <v>45926</v>
          </cell>
          <cell r="H766" t="str">
            <v>MONIKA ŁUKOMSKA</v>
          </cell>
          <cell r="N766">
            <v>232</v>
          </cell>
        </row>
        <row r="767">
          <cell r="A767">
            <v>45926</v>
          </cell>
          <cell r="H767" t="str">
            <v>AUTOPAY SPÓŁKA AKCYJNA UL.POWSTAŃCÓW WARSZAWY 6</v>
          </cell>
          <cell r="N767">
            <v>1046.8900000000001</v>
          </cell>
        </row>
        <row r="768">
          <cell r="A768">
            <v>45926</v>
          </cell>
          <cell r="H768" t="str">
            <v>EWELINA JADWIGA ULIAS</v>
          </cell>
          <cell r="N768">
            <v>256</v>
          </cell>
        </row>
        <row r="769">
          <cell r="A769">
            <v>45926</v>
          </cell>
          <cell r="H769" t="str">
            <v>MAGDALENA BŁASZKOWSKA</v>
          </cell>
          <cell r="N769">
            <v>243.2</v>
          </cell>
        </row>
        <row r="770">
          <cell r="A770">
            <v>45925</v>
          </cell>
          <cell r="H770" t="str">
            <v>MAŁKIEWICZ AGNIESZKA WIELKI GŁĘBOCZ EK 4 87-313 WIELKI GŁĘBOCZEK</v>
          </cell>
          <cell r="N770">
            <v>220.4</v>
          </cell>
        </row>
        <row r="771">
          <cell r="A771">
            <v>45925</v>
          </cell>
          <cell r="H771" t="str">
            <v>AUTOPAY SPÓŁKA AKCYJNA UL.POWSTAŃCÓW WARSZAWY 6</v>
          </cell>
          <cell r="N771">
            <v>763.25</v>
          </cell>
        </row>
        <row r="772">
          <cell r="A772">
            <v>45925</v>
          </cell>
          <cell r="H772" t="str">
            <v>BOJANOWSKA ANETA LASECZNO MAŁE 79</v>
          </cell>
          <cell r="N772">
            <v>232</v>
          </cell>
        </row>
        <row r="773">
          <cell r="A773">
            <v>45925</v>
          </cell>
          <cell r="H773" t="str">
            <v>WALDEMAR KLIMIK</v>
          </cell>
          <cell r="N773">
            <v>220.4</v>
          </cell>
        </row>
        <row r="774">
          <cell r="A774">
            <v>45925</v>
          </cell>
          <cell r="H774" t="str">
            <v>WALDEMAR KLIMIK</v>
          </cell>
          <cell r="N774">
            <v>224.96</v>
          </cell>
        </row>
        <row r="775">
          <cell r="A775">
            <v>45924</v>
          </cell>
          <cell r="H775" t="str">
            <v>ANNA WARMIŃSKA</v>
          </cell>
          <cell r="N775">
            <v>220.4</v>
          </cell>
        </row>
        <row r="776">
          <cell r="A776">
            <v>45924</v>
          </cell>
          <cell r="H776" t="str">
            <v>SAMANTA SZPAKOWSKA KS. JANA BATKE 4</v>
          </cell>
          <cell r="N776">
            <v>320</v>
          </cell>
        </row>
        <row r="777">
          <cell r="A777">
            <v>45924</v>
          </cell>
          <cell r="H777" t="str">
            <v>ŁUKASZ MARCIN TARCHANOW</v>
          </cell>
          <cell r="N777">
            <v>322.67</v>
          </cell>
        </row>
        <row r="778">
          <cell r="A778">
            <v>45924</v>
          </cell>
          <cell r="H778" t="str">
            <v>AUTOPAY SPÓŁKA AKCYJNA UL.POWSTAŃCÓW WARSZAWY 6</v>
          </cell>
          <cell r="N778">
            <v>2307.12</v>
          </cell>
        </row>
        <row r="779">
          <cell r="A779">
            <v>45924</v>
          </cell>
          <cell r="H779" t="str">
            <v>KAMILLA TEMPLIN</v>
          </cell>
          <cell r="N779">
            <v>283.56</v>
          </cell>
        </row>
        <row r="780">
          <cell r="A780">
            <v>45924</v>
          </cell>
          <cell r="H780" t="str">
            <v>MAREK KLIMIK PIASTOWSKA 6/38</v>
          </cell>
          <cell r="N780">
            <v>367.84</v>
          </cell>
        </row>
        <row r="781">
          <cell r="A781">
            <v>45924</v>
          </cell>
          <cell r="H781" t="str">
            <v>ŚWIĘCKI SŁAWOMIR</v>
          </cell>
          <cell r="N781">
            <v>220.4</v>
          </cell>
        </row>
        <row r="782">
          <cell r="A782">
            <v>45923</v>
          </cell>
          <cell r="H782" t="str">
            <v>AUTOPAY SPÓŁKA AKCYJNA UL.POWSTAŃCÓW WARSZAWY 6</v>
          </cell>
          <cell r="N782">
            <v>2766.71</v>
          </cell>
        </row>
        <row r="783">
          <cell r="A783">
            <v>45923</v>
          </cell>
          <cell r="H783" t="str">
            <v>TOMASZ TYC</v>
          </cell>
          <cell r="N783">
            <v>208.8</v>
          </cell>
        </row>
        <row r="784">
          <cell r="A784">
            <v>45923</v>
          </cell>
          <cell r="H784" t="str">
            <v>MARTA KARBOWSKA</v>
          </cell>
          <cell r="N784">
            <v>290</v>
          </cell>
        </row>
        <row r="785">
          <cell r="A785">
            <v>45923</v>
          </cell>
          <cell r="H785" t="str">
            <v>MARZENA SZYMAŃSKA SAMPŁAWA 40</v>
          </cell>
          <cell r="N785">
            <v>203.87</v>
          </cell>
        </row>
        <row r="786">
          <cell r="A786">
            <v>45923</v>
          </cell>
          <cell r="H786" t="str">
            <v>LUBIENIECKA M I LUBIENIECKI M UL. KOLOROWA 17</v>
          </cell>
          <cell r="N786">
            <v>235.6</v>
          </cell>
        </row>
        <row r="787">
          <cell r="A787">
            <v>45923</v>
          </cell>
          <cell r="H787" t="str">
            <v>DOROTA ANNA UMIŃSKA</v>
          </cell>
          <cell r="N787">
            <v>248</v>
          </cell>
        </row>
        <row r="788">
          <cell r="A788">
            <v>45922</v>
          </cell>
          <cell r="H788" t="str">
            <v>ŁUKASZEWSKA SYLWIA</v>
          </cell>
          <cell r="N788">
            <v>300.02</v>
          </cell>
        </row>
        <row r="789">
          <cell r="A789">
            <v>45922</v>
          </cell>
          <cell r="H789" t="str">
            <v xml:space="preserve">KOCHANOWSKA IWONA </v>
          </cell>
          <cell r="N789">
            <v>367.84</v>
          </cell>
        </row>
        <row r="790">
          <cell r="A790">
            <v>45922</v>
          </cell>
          <cell r="H790" t="str">
            <v>ŁUKASZ NOWAK</v>
          </cell>
          <cell r="N790">
            <v>291.56</v>
          </cell>
        </row>
        <row r="791">
          <cell r="A791">
            <v>45922</v>
          </cell>
          <cell r="H791" t="str">
            <v>ŁUKASZ NOWAK</v>
          </cell>
          <cell r="N791">
            <v>283.56</v>
          </cell>
        </row>
        <row r="792">
          <cell r="A792">
            <v>45922</v>
          </cell>
          <cell r="H792" t="str">
            <v>Agnieszka Szymańska</v>
          </cell>
          <cell r="N792">
            <v>244.89</v>
          </cell>
        </row>
        <row r="793">
          <cell r="A793">
            <v>45922</v>
          </cell>
          <cell r="H793" t="str">
            <v>AUTOPAY SPÓŁKA AKCYJNA UL.POWSTAŃCÓW WARSZAWY 6</v>
          </cell>
          <cell r="N793">
            <v>2620.2199999999998</v>
          </cell>
        </row>
        <row r="794">
          <cell r="A794">
            <v>45922</v>
          </cell>
          <cell r="H794" t="str">
            <v>AUTOPAY SPÓŁKA AKCYJNA UL.POWSTAŃCÓW WARSZAWY 6</v>
          </cell>
          <cell r="N794">
            <v>684</v>
          </cell>
        </row>
        <row r="795">
          <cell r="A795">
            <v>45922</v>
          </cell>
          <cell r="H795" t="str">
            <v/>
          </cell>
          <cell r="N795">
            <v>0</v>
          </cell>
        </row>
        <row r="796">
          <cell r="A796">
            <v>45922</v>
          </cell>
          <cell r="H796" t="str">
            <v/>
          </cell>
          <cell r="N796">
            <v>0</v>
          </cell>
        </row>
        <row r="797">
          <cell r="A797">
            <v>45922</v>
          </cell>
          <cell r="H797" t="str">
            <v>BAJOR MICHAŁ</v>
          </cell>
          <cell r="N797">
            <v>350.9</v>
          </cell>
        </row>
        <row r="798">
          <cell r="A798">
            <v>45922</v>
          </cell>
          <cell r="H798" t="str">
            <v>MARTA KUŹNIEWSKA KSIĘŻNEJ DOBRAWY 21 A</v>
          </cell>
          <cell r="N798">
            <v>235</v>
          </cell>
        </row>
        <row r="799">
          <cell r="A799">
            <v>45922</v>
          </cell>
          <cell r="H799" t="str">
            <v>FUNDACJA ROZWOJU WARMII I MAZUR</v>
          </cell>
          <cell r="N799">
            <v>3363</v>
          </cell>
        </row>
        <row r="800">
          <cell r="A800">
            <v>45922</v>
          </cell>
          <cell r="H800" t="str">
            <v>MONIKA A MARASZEK UL. NIEPODLEGŁOŚC I 4 82-550 PRABUTY MONIKA A MARASZE</v>
          </cell>
          <cell r="N800">
            <v>319</v>
          </cell>
        </row>
        <row r="801">
          <cell r="A801">
            <v>45922</v>
          </cell>
          <cell r="H801" t="str">
            <v>KAROLINA CIECIUCH</v>
          </cell>
          <cell r="N801">
            <v>218.88</v>
          </cell>
        </row>
        <row r="802">
          <cell r="A802">
            <v>45921</v>
          </cell>
          <cell r="H802" t="str">
            <v>TOMASZ JERZY ROSIŃSKI</v>
          </cell>
          <cell r="N802">
            <v>243.2</v>
          </cell>
        </row>
        <row r="803">
          <cell r="A803">
            <v>45921</v>
          </cell>
          <cell r="H803" t="str">
            <v>HANNA MARIA GAMALSKA</v>
          </cell>
          <cell r="N803">
            <v>32.83</v>
          </cell>
        </row>
        <row r="804">
          <cell r="A804">
            <v>45921</v>
          </cell>
          <cell r="H804" t="str">
            <v/>
          </cell>
          <cell r="N804">
            <v>0</v>
          </cell>
        </row>
        <row r="805">
          <cell r="A805">
            <v>45920</v>
          </cell>
          <cell r="H805" t="str">
            <v>ANETA RACKA</v>
          </cell>
          <cell r="N805">
            <v>244.89</v>
          </cell>
        </row>
        <row r="806">
          <cell r="A806">
            <v>45917</v>
          </cell>
          <cell r="H806" t="str">
            <v>EPRO SP. Z O.O. UL. MIKOŁAJSKA NR 25</v>
          </cell>
          <cell r="N806">
            <v>174.72</v>
          </cell>
        </row>
        <row r="807">
          <cell r="A807">
            <v>45917</v>
          </cell>
          <cell r="H807" t="str">
            <v/>
          </cell>
          <cell r="N807">
            <v>0</v>
          </cell>
        </row>
        <row r="808">
          <cell r="A808">
            <v>45915</v>
          </cell>
          <cell r="H808" t="str">
            <v/>
          </cell>
          <cell r="N808">
            <v>0</v>
          </cell>
        </row>
        <row r="809">
          <cell r="A809">
            <v>45915</v>
          </cell>
          <cell r="H809" t="str">
            <v>HANNA MARIA GAMALSKA</v>
          </cell>
          <cell r="N809">
            <v>412.53</v>
          </cell>
        </row>
        <row r="810">
          <cell r="A810">
            <v>45915</v>
          </cell>
          <cell r="H810" t="str">
            <v>Krzysztof Jakielski</v>
          </cell>
          <cell r="N810">
            <v>240</v>
          </cell>
        </row>
        <row r="811">
          <cell r="A811">
            <v>45913</v>
          </cell>
          <cell r="H811" t="str">
            <v/>
          </cell>
          <cell r="N811">
            <v>0</v>
          </cell>
        </row>
        <row r="812">
          <cell r="A812">
            <v>45912</v>
          </cell>
          <cell r="H812" t="str">
            <v/>
          </cell>
          <cell r="N812">
            <v>0</v>
          </cell>
        </row>
        <row r="813">
          <cell r="A813">
            <v>45911</v>
          </cell>
          <cell r="H813" t="str">
            <v/>
          </cell>
          <cell r="N813">
            <v>0</v>
          </cell>
        </row>
        <row r="814">
          <cell r="A814">
            <v>45911</v>
          </cell>
          <cell r="H814" t="str">
            <v/>
          </cell>
          <cell r="N814">
            <v>0</v>
          </cell>
        </row>
        <row r="815">
          <cell r="A815">
            <v>45910</v>
          </cell>
          <cell r="H815" t="str">
            <v>LR HEALTH&amp;BEAUTY SYSTEMS SP. Z O O.</v>
          </cell>
          <cell r="N815">
            <v>5632.68</v>
          </cell>
        </row>
        <row r="816">
          <cell r="A816">
            <v>45910</v>
          </cell>
          <cell r="H816" t="str">
            <v/>
          </cell>
          <cell r="N816">
            <v>0</v>
          </cell>
        </row>
        <row r="817">
          <cell r="A817">
            <v>45910</v>
          </cell>
          <cell r="H817" t="str">
            <v/>
          </cell>
          <cell r="N817">
            <v>0</v>
          </cell>
        </row>
        <row r="818">
          <cell r="A818">
            <v>45910</v>
          </cell>
          <cell r="H818" t="str">
            <v/>
          </cell>
          <cell r="N818">
            <v>0</v>
          </cell>
        </row>
        <row r="819">
          <cell r="A819">
            <v>45910</v>
          </cell>
          <cell r="H819" t="str">
            <v/>
          </cell>
          <cell r="N819">
            <v>0</v>
          </cell>
        </row>
        <row r="820">
          <cell r="A820">
            <v>45910</v>
          </cell>
          <cell r="H820" t="str">
            <v/>
          </cell>
          <cell r="N820">
            <v>0</v>
          </cell>
        </row>
        <row r="821">
          <cell r="A821">
            <v>45909</v>
          </cell>
          <cell r="H821" t="str">
            <v/>
          </cell>
          <cell r="N821">
            <v>0</v>
          </cell>
        </row>
        <row r="822">
          <cell r="A822">
            <v>45908</v>
          </cell>
          <cell r="H822" t="str">
            <v>Agnieszka Szymańska</v>
          </cell>
          <cell r="N822">
            <v>337.67</v>
          </cell>
        </row>
        <row r="823">
          <cell r="A823">
            <v>45898</v>
          </cell>
          <cell r="H823" t="str">
            <v/>
          </cell>
          <cell r="N823">
            <v>0</v>
          </cell>
        </row>
        <row r="824">
          <cell r="A824">
            <v>45898</v>
          </cell>
          <cell r="H824" t="str">
            <v/>
          </cell>
          <cell r="N824">
            <v>0</v>
          </cell>
        </row>
        <row r="825">
          <cell r="A825">
            <v>45898</v>
          </cell>
          <cell r="H825" t="str">
            <v/>
          </cell>
          <cell r="N825">
            <v>0</v>
          </cell>
        </row>
        <row r="826">
          <cell r="A826">
            <v>45898</v>
          </cell>
          <cell r="H826" t="str">
            <v/>
          </cell>
          <cell r="N826">
            <v>0</v>
          </cell>
        </row>
        <row r="827">
          <cell r="A827">
            <v>45898</v>
          </cell>
          <cell r="H827" t="str">
            <v/>
          </cell>
          <cell r="N827">
            <v>0</v>
          </cell>
        </row>
        <row r="828">
          <cell r="A828">
            <v>45898</v>
          </cell>
          <cell r="H828" t="str">
            <v/>
          </cell>
          <cell r="N828">
            <v>0</v>
          </cell>
        </row>
        <row r="829">
          <cell r="A829">
            <v>45898</v>
          </cell>
          <cell r="H829" t="str">
            <v/>
          </cell>
          <cell r="N829">
            <v>0</v>
          </cell>
        </row>
        <row r="830">
          <cell r="A830">
            <v>45897</v>
          </cell>
          <cell r="H830" t="str">
            <v/>
          </cell>
          <cell r="N830">
            <v>0</v>
          </cell>
        </row>
        <row r="831">
          <cell r="A831">
            <v>45896</v>
          </cell>
          <cell r="H831" t="str">
            <v/>
          </cell>
          <cell r="N831">
            <v>0</v>
          </cell>
        </row>
        <row r="832">
          <cell r="A832">
            <v>45894</v>
          </cell>
          <cell r="H832" t="str">
            <v>Krzysztof Jakielski</v>
          </cell>
          <cell r="N832">
            <v>240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estawienie"/>
      <sheetName val="Kalendarz_25_26"/>
      <sheetName val="U_ok"/>
      <sheetName val="Arkusz1"/>
      <sheetName val="Lista"/>
      <sheetName val="ŁukomskaZ"/>
      <sheetName val="TycA"/>
      <sheetName val="SzymańskiI"/>
      <sheetName val="SobocińskaN"/>
      <sheetName val="TatarekA"/>
      <sheetName val="TatarekA_M"/>
      <sheetName val="BojanowskaM"/>
      <sheetName val="ListkowskaW"/>
      <sheetName val="KłosowskiP"/>
      <sheetName val="KlimikT"/>
      <sheetName val="NowakA"/>
      <sheetName val="BoruckaJ"/>
      <sheetName val="WilaryM"/>
      <sheetName val="DetynaW"/>
      <sheetName val="DetynaW_M"/>
      <sheetName val="MaraszekZ"/>
      <sheetName val="KarbowskaD"/>
      <sheetName val="GamalskiM"/>
      <sheetName val="JaśkiewiczO"/>
      <sheetName val="KaniczJ"/>
      <sheetName val="KuźniewskaN"/>
      <sheetName val="RackiM"/>
      <sheetName val="SurmaczF"/>
      <sheetName val="ŚwięckaZ"/>
      <sheetName val="GamalskaD"/>
      <sheetName val="SurmaczO"/>
      <sheetName val="BłaszkowskiM"/>
      <sheetName val="MaciejkoA"/>
      <sheetName val="JurkiewiczJ"/>
      <sheetName val="NikczeńskiE"/>
      <sheetName val="KożuchowskaL"/>
      <sheetName val="TatarekM"/>
      <sheetName val="CieciuchM"/>
      <sheetName val="AnflikM"/>
      <sheetName val="ŻmudzińskaM"/>
      <sheetName val="NowakP"/>
      <sheetName val="GromekN"/>
      <sheetName val="SzpakowskaS"/>
      <sheetName val="WróbelA"/>
      <sheetName val="MikołajP"/>
      <sheetName val="PuchalskiM"/>
      <sheetName val="PaturalskaP"/>
      <sheetName val="HetnarK"/>
      <sheetName val="RoszakM"/>
      <sheetName val="BłażejewskaA"/>
      <sheetName val="KubańskiM"/>
      <sheetName val="TatarekN"/>
      <sheetName val="GajI"/>
      <sheetName val="GogolewN"/>
      <sheetName val="SzeflerH"/>
      <sheetName val="PiotrowskiM"/>
      <sheetName val="NapierskiK"/>
      <sheetName val="SmoczyńskaW"/>
      <sheetName val="SmoczyńskaW_M"/>
      <sheetName val="KlimikJ"/>
      <sheetName val="KłosowskiM"/>
      <sheetName val="PiecuchO"/>
      <sheetName val="JakielskiI"/>
      <sheetName val="KlimikP"/>
      <sheetName val="BajorM"/>
      <sheetName val="WasiakJ"/>
      <sheetName val="KubackiM"/>
      <sheetName val="MościckaO"/>
      <sheetName val="SzcześniakP"/>
      <sheetName val="MarkuszewskaJ"/>
      <sheetName val="OstrowskaZ"/>
      <sheetName val="OstrowskiH"/>
      <sheetName val="DumkiewiczW"/>
      <sheetName val="AdamskaK"/>
      <sheetName val="KacperskaE"/>
      <sheetName val="WięczkowskaJ"/>
      <sheetName val="ChrapkowskaB"/>
      <sheetName val="WarmińskaJ"/>
      <sheetName val="MałkiewiczA"/>
      <sheetName val="KasprowiczJ"/>
      <sheetName val="MielnikA"/>
      <sheetName val="RosińskaJ"/>
      <sheetName val="GalińskiJ"/>
      <sheetName val="KrawczykJ"/>
      <sheetName val="KrawczykJ_P"/>
      <sheetName val="KuhnwaldB"/>
      <sheetName val="KuhnwaldJ"/>
      <sheetName val="SzymańskaM"/>
      <sheetName val="TemplinM"/>
      <sheetName val="UliasK"/>
      <sheetName val="LubienieckaA"/>
      <sheetName val="TruszczyńskiM"/>
      <sheetName val="MatukiewiczK"/>
      <sheetName val="TarchanowZ"/>
      <sheetName val="JastrzębskaK"/>
      <sheetName val="ZielińskaA"/>
      <sheetName val="CzapskiF"/>
      <sheetName val="CzapskiF_M"/>
      <sheetName val="PiotrowskaO_M"/>
      <sheetName val="KaczyńskaO_M"/>
      <sheetName val="NaworskaN_M"/>
      <sheetName val="OchockiP"/>
      <sheetName val="TatarekM_M"/>
      <sheetName val="SeroczyńskiA"/>
      <sheetName val="MaciejewskaN"/>
      <sheetName val="ListaArkuszy"/>
    </sheetNames>
    <sheetDataSet>
      <sheetData sheetId="0"/>
      <sheetData sheetId="1"/>
      <sheetData sheetId="2"/>
      <sheetData sheetId="3">
        <row r="7">
          <cell r="B7">
            <v>45839.885821759257</v>
          </cell>
          <cell r="C7" t="str">
            <v>Franciszek</v>
          </cell>
          <cell r="D7" t="str">
            <v>Zalewski</v>
          </cell>
          <cell r="G7" t="str">
            <v>Agnieszka</v>
          </cell>
          <cell r="H7" t="str">
            <v>Ringwelska</v>
          </cell>
          <cell r="I7" t="str">
            <v>+48 790 243 827</v>
          </cell>
          <cell r="J7" t="str">
            <v>a.ringwelska@interia.pl</v>
          </cell>
          <cell r="O7" t="str">
            <v>Z-zorganizowana</v>
          </cell>
          <cell r="P7" t="str">
            <v>Język angielski</v>
          </cell>
          <cell r="S7" t="str">
            <v>2013-07-19</v>
          </cell>
          <cell r="T7" t="str">
            <v>Podstawowa</v>
          </cell>
          <cell r="U7">
            <v>6</v>
          </cell>
          <cell r="V7" t="str">
            <v>Tak (lub kolejny członek rodziny)</v>
          </cell>
          <cell r="Y7" t="str">
            <v>043/2025</v>
          </cell>
          <cell r="AA7">
            <v>5</v>
          </cell>
          <cell r="AB7" t="str">
            <v>wrzesień 2025</v>
          </cell>
          <cell r="AC7" t="str">
            <v>maj 2026 (koniec zajęć w roku szkolnym 2025/2026)</v>
          </cell>
          <cell r="AM7">
            <v>64</v>
          </cell>
        </row>
        <row r="8">
          <cell r="B8">
            <v>45839.888518518521</v>
          </cell>
          <cell r="C8" t="str">
            <v>Alicja</v>
          </cell>
          <cell r="D8" t="str">
            <v>Kozłowska</v>
          </cell>
          <cell r="G8" t="str">
            <v>Sylwia</v>
          </cell>
          <cell r="H8" t="str">
            <v>Kozłowska</v>
          </cell>
          <cell r="I8" t="str">
            <v>+48 697 715 972</v>
          </cell>
          <cell r="J8" t="str">
            <v>sylwia.warszawa@poczta.onet.pl</v>
          </cell>
          <cell r="O8" t="str">
            <v>Z-zorganizowana</v>
          </cell>
          <cell r="P8" t="str">
            <v>Język angielski</v>
          </cell>
          <cell r="Q8"/>
          <cell r="S8" t="str">
            <v>2013-11-26</v>
          </cell>
          <cell r="T8" t="str">
            <v>Podstawowa</v>
          </cell>
          <cell r="U8">
            <v>6</v>
          </cell>
          <cell r="V8" t="str">
            <v>Tak (lub kolejny członek rodziny)</v>
          </cell>
          <cell r="Y8" t="str">
            <v>025/2025</v>
          </cell>
          <cell r="AA8">
            <v>5</v>
          </cell>
          <cell r="AB8" t="str">
            <v>wrzesień 2025</v>
          </cell>
          <cell r="AC8" t="str">
            <v>czerwiec 2026</v>
          </cell>
          <cell r="AM8">
            <v>64</v>
          </cell>
        </row>
        <row r="9">
          <cell r="B9">
            <v>45839.891701388886</v>
          </cell>
          <cell r="C9" t="str">
            <v>Wojciech Adrian</v>
          </cell>
          <cell r="D9" t="str">
            <v>Kozłowski</v>
          </cell>
          <cell r="G9" t="str">
            <v>Sylwia</v>
          </cell>
          <cell r="H9" t="str">
            <v>Kozłowska</v>
          </cell>
          <cell r="I9" t="str">
            <v>+48 697 715 972</v>
          </cell>
          <cell r="J9" t="str">
            <v>sylwia.warszawa@poczta.onet.pl</v>
          </cell>
          <cell r="O9" t="str">
            <v>Z-zorganizowana</v>
          </cell>
          <cell r="P9" t="str">
            <v>Język angielski</v>
          </cell>
          <cell r="S9" t="str">
            <v>2017-03-29</v>
          </cell>
          <cell r="T9" t="str">
            <v>Podstawowa</v>
          </cell>
          <cell r="U9">
            <v>2</v>
          </cell>
          <cell r="V9" t="str">
            <v>Tak (lub kolejny członek rodziny)</v>
          </cell>
          <cell r="Y9"/>
          <cell r="AA9">
            <v>5</v>
          </cell>
          <cell r="AB9" t="str">
            <v>wrzesień 2025</v>
          </cell>
          <cell r="AC9" t="str">
            <v>czerwiec 2026</v>
          </cell>
          <cell r="AM9">
            <v>64</v>
          </cell>
        </row>
        <row r="10">
          <cell r="B10">
            <v>45839.899965277778</v>
          </cell>
          <cell r="C10" t="str">
            <v>Julia</v>
          </cell>
          <cell r="D10" t="str">
            <v>Rosińska</v>
          </cell>
          <cell r="G10" t="str">
            <v>Joanna</v>
          </cell>
          <cell r="H10" t="str">
            <v>Rosińska</v>
          </cell>
          <cell r="I10" t="str">
            <v>+48 693 657 335</v>
          </cell>
          <cell r="J10" t="str">
            <v>joannapiendak@gmail.com</v>
          </cell>
          <cell r="O10" t="str">
            <v>Z-zorganizowana</v>
          </cell>
          <cell r="P10" t="str">
            <v>Język angielski</v>
          </cell>
          <cell r="S10" t="str">
            <v>2016-02-24</v>
          </cell>
          <cell r="T10" t="str">
            <v>Podstawowa</v>
          </cell>
          <cell r="U10">
            <v>3</v>
          </cell>
          <cell r="V10" t="str">
            <v>Tak (lub kolejny członek rodziny)</v>
          </cell>
          <cell r="Y10" t="str">
            <v>005/2025</v>
          </cell>
          <cell r="AA10">
            <v>25</v>
          </cell>
          <cell r="AB10" t="str">
            <v>wrzesień 2025</v>
          </cell>
          <cell r="AC10" t="str">
            <v>maj 2026 (koniec zajęć w roku szkolnym 2025/2026)</v>
          </cell>
          <cell r="AM10">
            <v>64</v>
          </cell>
        </row>
        <row r="11">
          <cell r="B11">
            <v>45840.524641203701</v>
          </cell>
          <cell r="C11" t="str">
            <v>Laila</v>
          </cell>
          <cell r="D11" t="str">
            <v>Kosmala</v>
          </cell>
          <cell r="G11" t="str">
            <v>Barbara</v>
          </cell>
          <cell r="H11" t="str">
            <v>Pawłowska</v>
          </cell>
          <cell r="I11" t="str">
            <v>+48 690 692 232</v>
          </cell>
          <cell r="J11" t="str">
            <v>barbara.pawlowska1999@gmail.com</v>
          </cell>
          <cell r="O11" t="str">
            <v>Z-zorganizowana</v>
          </cell>
          <cell r="P11" t="str">
            <v>Język angielski</v>
          </cell>
          <cell r="S11" t="str">
            <v>2018-07-08</v>
          </cell>
          <cell r="T11" t="str">
            <v>Podstawowa</v>
          </cell>
          <cell r="U11">
            <v>1</v>
          </cell>
          <cell r="V11" t="str">
            <v>Nie</v>
          </cell>
          <cell r="Y11"/>
          <cell r="AA11">
            <v>15</v>
          </cell>
          <cell r="AB11" t="str">
            <v>sierpień 2025</v>
          </cell>
          <cell r="AC11" t="str">
            <v>maj 2026 (koniec zajęć w roku szkolnym 2025/2026)</v>
          </cell>
          <cell r="AM11">
            <v>64</v>
          </cell>
        </row>
        <row r="12">
          <cell r="B12">
            <v>45840.549502314818</v>
          </cell>
          <cell r="C12" t="str">
            <v>Maksymilian</v>
          </cell>
          <cell r="D12" t="str">
            <v>Roszak</v>
          </cell>
          <cell r="G12" t="str">
            <v>Wojciech</v>
          </cell>
          <cell r="H12" t="str">
            <v>Roszak</v>
          </cell>
          <cell r="I12" t="str">
            <v>+48 570 091 001</v>
          </cell>
          <cell r="J12" t="str">
            <v>wojrosz@gmail.com</v>
          </cell>
          <cell r="O12" t="str">
            <v>Z-zorganizowana</v>
          </cell>
          <cell r="P12" t="str">
            <v>Język angielski</v>
          </cell>
          <cell r="S12" t="str">
            <v>2014-10-15</v>
          </cell>
          <cell r="T12" t="str">
            <v>Podstawowa</v>
          </cell>
          <cell r="U12">
            <v>5</v>
          </cell>
          <cell r="V12" t="str">
            <v>Tak (lub kolejny członek rodziny)</v>
          </cell>
          <cell r="Y12" t="str">
            <v>029/2025</v>
          </cell>
          <cell r="AA12">
            <v>25</v>
          </cell>
          <cell r="AB12" t="str">
            <v>wrzesień 2025</v>
          </cell>
          <cell r="AC12" t="str">
            <v>maj 2026 (koniec zajęć w roku szkolnym 2025/2026)</v>
          </cell>
          <cell r="AM12">
            <v>64</v>
          </cell>
        </row>
        <row r="13">
          <cell r="B13">
            <v>45840.580011574071</v>
          </cell>
          <cell r="C13" t="str">
            <v>Anna</v>
          </cell>
          <cell r="D13" t="str">
            <v>Mielnik</v>
          </cell>
          <cell r="G13" t="str">
            <v>Joanna</v>
          </cell>
          <cell r="H13" t="str">
            <v>Mielnik</v>
          </cell>
          <cell r="I13" t="str">
            <v>+48 798 614 471</v>
          </cell>
          <cell r="J13" t="str">
            <v>mielnik_j@o2.pl</v>
          </cell>
          <cell r="O13" t="str">
            <v>Z-zorganizowana</v>
          </cell>
          <cell r="P13" t="str">
            <v>Język angielski</v>
          </cell>
          <cell r="S13" t="str">
            <v>2016-02-24</v>
          </cell>
          <cell r="T13" t="str">
            <v>Podstawowa</v>
          </cell>
          <cell r="U13">
            <v>3</v>
          </cell>
          <cell r="V13" t="str">
            <v>Tak (lub kolejny członek rodziny)</v>
          </cell>
          <cell r="Y13" t="str">
            <v>004/2025</v>
          </cell>
          <cell r="AA13">
            <v>15</v>
          </cell>
          <cell r="AB13" t="str">
            <v>wrzesień 2025</v>
          </cell>
          <cell r="AC13" t="str">
            <v>maj 2026 (koniec zajęć w roku szkolnym 2025/2026)</v>
          </cell>
          <cell r="AM13">
            <v>64</v>
          </cell>
        </row>
        <row r="14">
          <cell r="B14">
            <v>45840.598981481482</v>
          </cell>
          <cell r="C14" t="str">
            <v>Maja</v>
          </cell>
          <cell r="D14" t="str">
            <v>Cieciuch</v>
          </cell>
          <cell r="G14" t="str">
            <v>Karolina</v>
          </cell>
          <cell r="H14" t="str">
            <v>Cieciuch</v>
          </cell>
          <cell r="I14" t="str">
            <v>+48 731 900 042</v>
          </cell>
          <cell r="J14" t="str">
            <v>karolina150885@icloud.com</v>
          </cell>
          <cell r="O14" t="str">
            <v>Z-zorganizowana</v>
          </cell>
          <cell r="P14" t="str">
            <v>Język angielski</v>
          </cell>
          <cell r="Q14" t="str">
            <v>Maturalny</v>
          </cell>
          <cell r="S14" t="str">
            <v>2010-03-20</v>
          </cell>
          <cell r="T14" t="str">
            <v>Średnia - technikum</v>
          </cell>
          <cell r="U14">
            <v>2</v>
          </cell>
          <cell r="V14" t="str">
            <v>Tak (lub kolejny członek rodziny)</v>
          </cell>
          <cell r="Y14" t="str">
            <v>027/2025</v>
          </cell>
          <cell r="AA14">
            <v>15</v>
          </cell>
          <cell r="AB14" t="str">
            <v>wrzesień 2025</v>
          </cell>
          <cell r="AC14" t="str">
            <v>czerwiec 2026</v>
          </cell>
          <cell r="AM14">
            <v>58</v>
          </cell>
        </row>
        <row r="15">
          <cell r="B15">
            <v>45840.658935185187</v>
          </cell>
          <cell r="C15" t="str">
            <v>Aleksander</v>
          </cell>
          <cell r="D15" t="str">
            <v>Pokojski</v>
          </cell>
          <cell r="G15" t="str">
            <v>Regina</v>
          </cell>
          <cell r="H15" t="str">
            <v>Pokojska</v>
          </cell>
          <cell r="I15" t="str">
            <v>+48 530 090 584</v>
          </cell>
          <cell r="J15" t="str">
            <v>regina.wp@wp.pl</v>
          </cell>
          <cell r="O15" t="str">
            <v>3-osobowa</v>
          </cell>
          <cell r="P15" t="str">
            <v>Język angielski</v>
          </cell>
          <cell r="S15" t="str">
            <v>2015-04-09</v>
          </cell>
          <cell r="T15" t="str">
            <v>Podstawowa</v>
          </cell>
          <cell r="U15">
            <v>4</v>
          </cell>
          <cell r="V15" t="str">
            <v>Tak (lub kolejny członek rodziny)</v>
          </cell>
          <cell r="Y15" t="str">
            <v>035/2025</v>
          </cell>
          <cell r="AA15">
            <v>15</v>
          </cell>
          <cell r="AB15" t="str">
            <v>wrzesień 2025</v>
          </cell>
          <cell r="AC15" t="str">
            <v>czerwiec 2026</v>
          </cell>
          <cell r="AM15">
            <v>33</v>
          </cell>
        </row>
        <row r="16">
          <cell r="B16">
            <v>45840.666516203702</v>
          </cell>
          <cell r="C16" t="str">
            <v>Bianka</v>
          </cell>
          <cell r="D16" t="str">
            <v>Kuhnwald</v>
          </cell>
          <cell r="G16" t="str">
            <v>Beata</v>
          </cell>
          <cell r="H16" t="str">
            <v>Kuhnwald</v>
          </cell>
          <cell r="I16" t="str">
            <v>+48 698 028 045</v>
          </cell>
          <cell r="J16" t="str">
            <v>beatakuhnwald@gmail.com</v>
          </cell>
          <cell r="O16" t="str">
            <v>3-osobowa</v>
          </cell>
          <cell r="P16" t="str">
            <v>Język angielski</v>
          </cell>
          <cell r="S16" t="str">
            <v>2015-12-14</v>
          </cell>
          <cell r="T16" t="str">
            <v>Podstawowa</v>
          </cell>
          <cell r="U16">
            <v>4</v>
          </cell>
          <cell r="V16" t="str">
            <v>Tak (lub kolejny członek rodziny)</v>
          </cell>
          <cell r="Y16" t="str">
            <v>034/2025</v>
          </cell>
          <cell r="AA16">
            <v>15</v>
          </cell>
          <cell r="AB16" t="str">
            <v>wrzesień 2025</v>
          </cell>
          <cell r="AC16" t="str">
            <v>maj 2026 (koniec zajęć w roku szkolnym 2025/2026)</v>
          </cell>
          <cell r="AM16">
            <v>33</v>
          </cell>
        </row>
        <row r="17">
          <cell r="B17">
            <v>45840.677361111113</v>
          </cell>
          <cell r="C17" t="str">
            <v>Zuzanna</v>
          </cell>
          <cell r="D17" t="str">
            <v>Święcka</v>
          </cell>
          <cell r="G17" t="str">
            <v>Jowita</v>
          </cell>
          <cell r="H17" t="str">
            <v>Święcka</v>
          </cell>
          <cell r="I17" t="str">
            <v>+48 608 088 431</v>
          </cell>
          <cell r="J17" t="str">
            <v>jowitaswiecka72@gmail.com</v>
          </cell>
          <cell r="O17" t="str">
            <v>Z-zorganizowana</v>
          </cell>
          <cell r="P17" t="str">
            <v>Język angielski</v>
          </cell>
          <cell r="Q17" t="str">
            <v>Maturalny</v>
          </cell>
          <cell r="S17" t="str">
            <v>2007-05-23</v>
          </cell>
          <cell r="T17" t="str">
            <v>Średnia - liceum</v>
          </cell>
          <cell r="U17">
            <v>3</v>
          </cell>
          <cell r="V17" t="str">
            <v>Tak (lub kolejny członek rodziny)</v>
          </cell>
          <cell r="Y17" t="str">
            <v>065/2025</v>
          </cell>
          <cell r="AA17">
            <v>25</v>
          </cell>
          <cell r="AB17" t="str">
            <v>wrzesień 2025</v>
          </cell>
          <cell r="AC17" t="str">
            <v>maj 2026 (koniec zajęć w roku szkolnym 2025/2026)</v>
          </cell>
          <cell r="AM17">
            <v>58</v>
          </cell>
        </row>
        <row r="18">
          <cell r="B18">
            <v>45840.705509259256</v>
          </cell>
          <cell r="C18" t="str">
            <v>Michał</v>
          </cell>
          <cell r="D18" t="str">
            <v>Racki</v>
          </cell>
          <cell r="G18" t="str">
            <v>Aneta</v>
          </cell>
          <cell r="H18" t="str">
            <v>Racka</v>
          </cell>
          <cell r="I18" t="str">
            <v>+48 507 402 409</v>
          </cell>
          <cell r="J18" t="str">
            <v>anetaracka123@gmail.com</v>
          </cell>
          <cell r="O18" t="str">
            <v>Z-zorganizowana</v>
          </cell>
          <cell r="P18" t="str">
            <v>Język angielski</v>
          </cell>
          <cell r="Q18" t="str">
            <v>Maturalny</v>
          </cell>
          <cell r="S18" t="str">
            <v>2007-10-01</v>
          </cell>
          <cell r="T18" t="str">
            <v>Średnia - liceum</v>
          </cell>
          <cell r="U18">
            <v>4</v>
          </cell>
          <cell r="V18" t="str">
            <v>Tak (lub kolejny członek rodziny)</v>
          </cell>
          <cell r="Y18"/>
          <cell r="AA18">
            <v>15</v>
          </cell>
          <cell r="AB18" t="str">
            <v>wrzesień 2025</v>
          </cell>
          <cell r="AC18" t="str">
            <v>maj 2026 (koniec zajęć w roku szkolnym 2025/2026)</v>
          </cell>
          <cell r="AM18">
            <v>58</v>
          </cell>
        </row>
        <row r="19">
          <cell r="B19">
            <v>45840.735810185186</v>
          </cell>
          <cell r="C19" t="str">
            <v>Wiwiana</v>
          </cell>
          <cell r="D19" t="str">
            <v>Listkowska</v>
          </cell>
          <cell r="G19" t="str">
            <v>Beata</v>
          </cell>
          <cell r="H19" t="str">
            <v>Listkowska</v>
          </cell>
          <cell r="I19" t="str">
            <v>+48 606 324 912</v>
          </cell>
          <cell r="J19" t="str">
            <v>maxifafik@wp.pl</v>
          </cell>
          <cell r="O19" t="str">
            <v>Z-zorganizowana</v>
          </cell>
          <cell r="P19" t="str">
            <v>Język angielski</v>
          </cell>
          <cell r="Q19" t="str">
            <v>Ósmoklasisty</v>
          </cell>
          <cell r="S19" t="str">
            <v>2012-02-11</v>
          </cell>
          <cell r="T19" t="str">
            <v>Podstawowa</v>
          </cell>
          <cell r="U19">
            <v>7</v>
          </cell>
          <cell r="V19" t="str">
            <v>Tak (lub kolejny członek rodziny)</v>
          </cell>
          <cell r="Y19" t="str">
            <v>033/2025</v>
          </cell>
          <cell r="AA19">
            <v>15</v>
          </cell>
          <cell r="AB19" t="str">
            <v>wrzesień 2025</v>
          </cell>
          <cell r="AC19" t="str">
            <v>maj 2026 (koniec zajęć w roku szkolnym 2025/2026)</v>
          </cell>
          <cell r="AM19">
            <v>64</v>
          </cell>
        </row>
        <row r="20">
          <cell r="B20">
            <v>45841.308611111112</v>
          </cell>
          <cell r="C20" t="str">
            <v>Pola</v>
          </cell>
          <cell r="D20" t="str">
            <v>Klimik</v>
          </cell>
          <cell r="G20" t="str">
            <v>Marek</v>
          </cell>
          <cell r="H20" t="str">
            <v>Klimik</v>
          </cell>
          <cell r="I20" t="str">
            <v>+48 609 038 850</v>
          </cell>
          <cell r="J20" t="str">
            <v>klimik.m@wp.pl</v>
          </cell>
          <cell r="O20" t="str">
            <v>1-osobowa</v>
          </cell>
          <cell r="P20" t="str">
            <v>Język angielski</v>
          </cell>
          <cell r="S20" t="str">
            <v>2015-02-23</v>
          </cell>
          <cell r="T20" t="str">
            <v>Podstawowa</v>
          </cell>
          <cell r="U20">
            <v>4</v>
          </cell>
          <cell r="V20" t="str">
            <v>Tak (lub kolejny członek rodziny)</v>
          </cell>
          <cell r="Y20" t="str">
            <v>016/2025</v>
          </cell>
          <cell r="AA20">
            <v>5</v>
          </cell>
          <cell r="AB20" t="str">
            <v>wrzesień 2025</v>
          </cell>
          <cell r="AC20" t="str">
            <v>maj 2026 (koniec zajęć w roku szkolnym 2025/2026)</v>
          </cell>
          <cell r="AM20">
            <v>33</v>
          </cell>
        </row>
        <row r="21">
          <cell r="B21">
            <v>45841.351921296293</v>
          </cell>
          <cell r="C21" t="str">
            <v>IGOR</v>
          </cell>
          <cell r="D21" t="str">
            <v>SZYMAŃSKI</v>
          </cell>
          <cell r="G21" t="str">
            <v>AGNIESZKA</v>
          </cell>
          <cell r="H21" t="str">
            <v>SZYMAŃSKA</v>
          </cell>
          <cell r="I21" t="str">
            <v>+48 664 431 480</v>
          </cell>
          <cell r="J21" t="str">
            <v>a.szymanska2@onet.pl</v>
          </cell>
          <cell r="O21" t="str">
            <v>Z-zorganizowana</v>
          </cell>
          <cell r="P21" t="str">
            <v>Język angielski</v>
          </cell>
          <cell r="Q21" t="str">
            <v>Maturalny</v>
          </cell>
          <cell r="S21" t="str">
            <v>2009-11-17</v>
          </cell>
          <cell r="T21" t="str">
            <v>Średnia - technikum</v>
          </cell>
          <cell r="U21">
            <v>3</v>
          </cell>
          <cell r="V21" t="str">
            <v>Tak (lub kolejny członek rodziny)</v>
          </cell>
          <cell r="Y21"/>
          <cell r="AA21">
            <v>15</v>
          </cell>
          <cell r="AB21" t="str">
            <v>wrzesień 2025</v>
          </cell>
          <cell r="AC21" t="str">
            <v>maj 2026 (koniec zajęć w roku szkolnym 2025/2026)</v>
          </cell>
          <cell r="AM21">
            <v>64</v>
          </cell>
        </row>
        <row r="22">
          <cell r="B22">
            <v>45841.401250000003</v>
          </cell>
          <cell r="C22" t="str">
            <v>Natalia</v>
          </cell>
          <cell r="D22" t="str">
            <v>Sobocińska</v>
          </cell>
          <cell r="G22" t="str">
            <v>Katarzyna</v>
          </cell>
          <cell r="H22" t="str">
            <v>Sobocińska</v>
          </cell>
          <cell r="I22" t="str">
            <v>+48 668 409 446</v>
          </cell>
          <cell r="J22" t="str">
            <v>kasiaijaca@wp.pl</v>
          </cell>
          <cell r="O22" t="str">
            <v>Z-zorganizowana</v>
          </cell>
          <cell r="P22" t="str">
            <v>Język angielski</v>
          </cell>
          <cell r="Q22" t="str">
            <v>Maturalny</v>
          </cell>
          <cell r="S22" t="str">
            <v>2009-09-21</v>
          </cell>
          <cell r="T22" t="str">
            <v>Średnia - technikum</v>
          </cell>
          <cell r="U22">
            <v>3</v>
          </cell>
          <cell r="V22" t="str">
            <v>Tak (lub kolejny członek rodziny)</v>
          </cell>
          <cell r="Y22" t="str">
            <v>053</v>
          </cell>
          <cell r="AA22">
            <v>15</v>
          </cell>
          <cell r="AB22" t="str">
            <v>wrzesień 2025</v>
          </cell>
          <cell r="AC22" t="str">
            <v>maj 2026 (koniec zajęć w roku szkolnym 2025/2026)</v>
          </cell>
          <cell r="AM22">
            <v>58</v>
          </cell>
        </row>
        <row r="23">
          <cell r="B23">
            <v>45841.444537037038</v>
          </cell>
          <cell r="C23" t="str">
            <v>Eryk</v>
          </cell>
          <cell r="D23" t="str">
            <v>Nikczeński</v>
          </cell>
          <cell r="G23" t="str">
            <v>Anna</v>
          </cell>
          <cell r="H23" t="str">
            <v>Nikczeńska</v>
          </cell>
          <cell r="I23" t="str">
            <v>+48 695 040 005</v>
          </cell>
          <cell r="J23" t="str">
            <v>ania.natka@op.pl</v>
          </cell>
          <cell r="O23" t="str">
            <v>Z-zorganizowana</v>
          </cell>
          <cell r="P23" t="str">
            <v>Język angielski</v>
          </cell>
          <cell r="S23" t="str">
            <v>2010-06-21</v>
          </cell>
          <cell r="T23" t="str">
            <v>Średnia - liceum</v>
          </cell>
          <cell r="U23">
            <v>2</v>
          </cell>
          <cell r="V23" t="str">
            <v>Tak (lub kolejny członek rodziny)</v>
          </cell>
          <cell r="Y23"/>
          <cell r="AA23">
            <v>15</v>
          </cell>
          <cell r="AB23" t="str">
            <v>sierpień 2025</v>
          </cell>
          <cell r="AC23" t="str">
            <v>maj 2026 (koniec zajęć w roku szkolnym 2025/2026)</v>
          </cell>
          <cell r="AM23">
            <v>64</v>
          </cell>
        </row>
        <row r="24">
          <cell r="B24">
            <v>45841.445150462961</v>
          </cell>
          <cell r="C24" t="str">
            <v>Liliana</v>
          </cell>
          <cell r="D24" t="str">
            <v>Kożuchowska</v>
          </cell>
          <cell r="G24" t="str">
            <v>Wojciech</v>
          </cell>
          <cell r="H24" t="str">
            <v>Kożuchowski</v>
          </cell>
          <cell r="I24" t="str">
            <v>+48 600 022 234</v>
          </cell>
          <cell r="J24" t="str">
            <v>did0@wp.pl</v>
          </cell>
          <cell r="O24" t="str">
            <v>Z-zorganizowana</v>
          </cell>
          <cell r="P24" t="str">
            <v>Język angielski</v>
          </cell>
          <cell r="S24" t="str">
            <v>2010-03-24</v>
          </cell>
          <cell r="T24" t="str">
            <v>Średnia - liceum</v>
          </cell>
          <cell r="U24">
            <v>1</v>
          </cell>
          <cell r="V24" t="str">
            <v>Tak (lub kolejny członek rodziny)</v>
          </cell>
          <cell r="Y24" t="str">
            <v>075/2025</v>
          </cell>
          <cell r="AA24">
            <v>5</v>
          </cell>
          <cell r="AB24" t="str">
            <v>wrzesień 2025</v>
          </cell>
          <cell r="AC24" t="str">
            <v>maj 2026 (koniec zajęć w roku szkolnym 2025/2026)</v>
          </cell>
          <cell r="AM24">
            <v>64</v>
          </cell>
        </row>
        <row r="25">
          <cell r="B25">
            <v>45841.735185185185</v>
          </cell>
          <cell r="C25" t="str">
            <v>Oskar</v>
          </cell>
          <cell r="D25" t="str">
            <v>Piecuch</v>
          </cell>
          <cell r="G25" t="str">
            <v>Emilia</v>
          </cell>
          <cell r="H25" t="str">
            <v>Piecuch</v>
          </cell>
          <cell r="I25" t="str">
            <v>+48 789 328 376</v>
          </cell>
          <cell r="J25" t="str">
            <v>emiliapiecuch706@gmail.com</v>
          </cell>
          <cell r="O25" t="str">
            <v>Z-zorganizowana</v>
          </cell>
          <cell r="P25" t="str">
            <v>Język angielski</v>
          </cell>
          <cell r="S25" t="str">
            <v>2008-02-21</v>
          </cell>
          <cell r="T25" t="str">
            <v>Średnia - liceum</v>
          </cell>
          <cell r="U25">
            <v>3</v>
          </cell>
          <cell r="V25" t="str">
            <v>Tak (lub kolejny członek rodziny)</v>
          </cell>
          <cell r="Y25" t="str">
            <v>014/2025</v>
          </cell>
          <cell r="AA25">
            <v>5</v>
          </cell>
          <cell r="AB25" t="str">
            <v>wrzesień 2025</v>
          </cell>
          <cell r="AC25" t="str">
            <v>maj 2026 (koniec zajęć w roku szkolnym 2025/2026)</v>
          </cell>
          <cell r="AM25">
            <v>64</v>
          </cell>
        </row>
        <row r="26">
          <cell r="B26">
            <v>45841.861076388886</v>
          </cell>
          <cell r="C26" t="str">
            <v>Miłosz</v>
          </cell>
          <cell r="D26" t="str">
            <v>Truszczyński</v>
          </cell>
          <cell r="G26" t="str">
            <v>Kamila</v>
          </cell>
          <cell r="H26" t="str">
            <v>Truszczyńska</v>
          </cell>
          <cell r="I26" t="str">
            <v>+48 604 922 512</v>
          </cell>
          <cell r="J26" t="str">
            <v>kamila.o@wp.pl</v>
          </cell>
          <cell r="O26" t="str">
            <v>Z-zorganizowana</v>
          </cell>
          <cell r="P26" t="str">
            <v>Język angielski</v>
          </cell>
          <cell r="S26" t="str">
            <v>2014-06-09</v>
          </cell>
          <cell r="T26" t="str">
            <v>Podstawowa</v>
          </cell>
          <cell r="U26">
            <v>5</v>
          </cell>
          <cell r="V26" t="str">
            <v>Tak (lub kolejny członek rodziny)</v>
          </cell>
          <cell r="Y26" t="str">
            <v>040/2025</v>
          </cell>
          <cell r="AA26">
            <v>15</v>
          </cell>
          <cell r="AB26" t="str">
            <v>wrzesień 2025</v>
          </cell>
          <cell r="AC26" t="str">
            <v>czerwiec 2026</v>
          </cell>
          <cell r="AM26">
            <v>64</v>
          </cell>
        </row>
        <row r="27">
          <cell r="B27">
            <v>45841.867152777777</v>
          </cell>
          <cell r="C27" t="str">
            <v>Milena</v>
          </cell>
          <cell r="D27" t="str">
            <v>Truszczyńska</v>
          </cell>
          <cell r="G27" t="str">
            <v>Kamila</v>
          </cell>
          <cell r="H27" t="str">
            <v>Truszczyńska</v>
          </cell>
          <cell r="I27" t="str">
            <v>+48 604 922 512</v>
          </cell>
          <cell r="J27" t="str">
            <v>kamila.o@wp.pl</v>
          </cell>
          <cell r="O27" t="str">
            <v>2-osobowa</v>
          </cell>
          <cell r="P27" t="str">
            <v>Język angielski</v>
          </cell>
          <cell r="S27" t="str">
            <v>2018-01-10</v>
          </cell>
          <cell r="T27" t="str">
            <v>Podstawowa</v>
          </cell>
          <cell r="U27">
            <v>1</v>
          </cell>
          <cell r="V27" t="str">
            <v>Tak (lub kolejny członek rodziny)</v>
          </cell>
          <cell r="Y27"/>
          <cell r="AA27">
            <v>15</v>
          </cell>
          <cell r="AB27" t="str">
            <v>wrzesień 2025</v>
          </cell>
          <cell r="AC27" t="str">
            <v>czerwiec 2026</v>
          </cell>
          <cell r="AM27">
            <v>64</v>
          </cell>
        </row>
        <row r="28">
          <cell r="B28">
            <v>45845.42827546296</v>
          </cell>
          <cell r="C28" t="str">
            <v>Olivier</v>
          </cell>
          <cell r="D28" t="str">
            <v>Jaśkiewicz</v>
          </cell>
          <cell r="G28" t="str">
            <v>Edyta</v>
          </cell>
          <cell r="H28" t="str">
            <v>Bylińska</v>
          </cell>
          <cell r="I28" t="str">
            <v>+48 605 168 467</v>
          </cell>
          <cell r="J28" t="str">
            <v>edysia324@wp.pl</v>
          </cell>
          <cell r="O28" t="str">
            <v>Z-zorganizowana</v>
          </cell>
          <cell r="P28" t="str">
            <v>Język angielski</v>
          </cell>
          <cell r="Q28" t="str">
            <v>Maturalny</v>
          </cell>
          <cell r="V28" t="str">
            <v>Tak (lub kolejny członek rodziny)</v>
          </cell>
          <cell r="Y28" t="str">
            <v>061/2025</v>
          </cell>
          <cell r="AA28">
            <v>15</v>
          </cell>
          <cell r="AB28" t="str">
            <v>wrzesień 2025</v>
          </cell>
          <cell r="AC28" t="str">
            <v>maj 2026 (koniec zajęć w roku szkolnym 2025/2026)</v>
          </cell>
          <cell r="AM28">
            <v>64</v>
          </cell>
        </row>
        <row r="29">
          <cell r="B29">
            <v>45845.639467592591</v>
          </cell>
          <cell r="C29" t="str">
            <v>Milena</v>
          </cell>
          <cell r="D29" t="str">
            <v>Szymańska</v>
          </cell>
          <cell r="G29" t="str">
            <v>Marzena</v>
          </cell>
          <cell r="H29" t="str">
            <v>Szymańska</v>
          </cell>
          <cell r="I29" t="str">
            <v>+48 515 241 447</v>
          </cell>
          <cell r="J29" t="str">
            <v>marzena270609@wp.pl</v>
          </cell>
          <cell r="O29" t="str">
            <v>Z-zorganizowana</v>
          </cell>
          <cell r="P29" t="str">
            <v>Język angielski</v>
          </cell>
          <cell r="Q29" t="str">
            <v>Ósmoklasisty</v>
          </cell>
          <cell r="S29" t="str">
            <v>2011-08-28</v>
          </cell>
          <cell r="T29" t="str">
            <v>Podstawowa</v>
          </cell>
          <cell r="U29">
            <v>8</v>
          </cell>
          <cell r="V29" t="str">
            <v>Tak (lub kolejny członek rodziny)</v>
          </cell>
          <cell r="Y29" t="str">
            <v>002/2025</v>
          </cell>
          <cell r="AA29">
            <v>15</v>
          </cell>
          <cell r="AB29" t="str">
            <v>wrzesień 2025</v>
          </cell>
          <cell r="AC29" t="str">
            <v>maj 2026 (koniec zajęć w roku szkolnym 2025/2026)</v>
          </cell>
          <cell r="AM29">
            <v>64</v>
          </cell>
        </row>
        <row r="30">
          <cell r="B30">
            <v>45845.719270833331</v>
          </cell>
          <cell r="C30" t="str">
            <v>Jakub</v>
          </cell>
          <cell r="D30" t="str">
            <v>Klimik</v>
          </cell>
          <cell r="G30" t="str">
            <v>Joanna</v>
          </cell>
          <cell r="H30" t="str">
            <v>Klimik</v>
          </cell>
          <cell r="I30" t="str">
            <v>+48 510 990 460</v>
          </cell>
          <cell r="J30" t="str">
            <v>klimikjoanna@gmail.com</v>
          </cell>
          <cell r="O30" t="str">
            <v>Z-zorganizowana</v>
          </cell>
          <cell r="P30" t="str">
            <v>Język angielski</v>
          </cell>
          <cell r="S30" t="str">
            <v>2009-12-26</v>
          </cell>
          <cell r="T30" t="str">
            <v>Średnia - liceum</v>
          </cell>
          <cell r="U30">
            <v>3</v>
          </cell>
          <cell r="V30" t="str">
            <v>Tak (lub kolejny członek rodziny)</v>
          </cell>
          <cell r="Y30"/>
          <cell r="AA30">
            <v>15</v>
          </cell>
          <cell r="AB30" t="str">
            <v>wrzesień 2025</v>
          </cell>
          <cell r="AC30" t="str">
            <v>czerwiec 2026</v>
          </cell>
          <cell r="AM30">
            <v>58</v>
          </cell>
        </row>
        <row r="31">
          <cell r="B31">
            <v>45845.723101851851</v>
          </cell>
          <cell r="C31" t="str">
            <v>Tymoteusz</v>
          </cell>
          <cell r="D31" t="str">
            <v>Klimik</v>
          </cell>
          <cell r="G31" t="str">
            <v>Joanna</v>
          </cell>
          <cell r="H31" t="str">
            <v>Klimik</v>
          </cell>
          <cell r="I31" t="str">
            <v>+48 510 990 460</v>
          </cell>
          <cell r="J31" t="str">
            <v>klimikjoanna@gmail.com</v>
          </cell>
          <cell r="O31" t="str">
            <v>Z-zorganizowana</v>
          </cell>
          <cell r="P31" t="str">
            <v>Język angielski</v>
          </cell>
          <cell r="Q31" t="str">
            <v>Ósmoklasisty</v>
          </cell>
          <cell r="S31" t="str">
            <v>2013-11-29</v>
          </cell>
          <cell r="T31" t="str">
            <v>Podstawowa</v>
          </cell>
          <cell r="U31">
            <v>6</v>
          </cell>
          <cell r="V31" t="str">
            <v>Nie</v>
          </cell>
          <cell r="Y31"/>
          <cell r="AA31">
            <v>15</v>
          </cell>
          <cell r="AB31" t="str">
            <v>wrzesień 2025</v>
          </cell>
          <cell r="AC31" t="str">
            <v>czerwiec 2026</v>
          </cell>
          <cell r="AM31">
            <v>58</v>
          </cell>
        </row>
        <row r="32">
          <cell r="B32">
            <v>45845.811990740738</v>
          </cell>
          <cell r="C32" t="str">
            <v>Marcel</v>
          </cell>
          <cell r="D32" t="str">
            <v>Błaszkowski</v>
          </cell>
          <cell r="G32" t="str">
            <v>Magdalena</v>
          </cell>
          <cell r="H32" t="str">
            <v>Błaszkowska</v>
          </cell>
          <cell r="I32" t="str">
            <v>+48 502 174 080</v>
          </cell>
          <cell r="J32" t="str">
            <v>magblasz@interia.pl</v>
          </cell>
          <cell r="O32" t="str">
            <v>Z-zorganizowana</v>
          </cell>
          <cell r="P32" t="str">
            <v>Język angielski</v>
          </cell>
          <cell r="S32" t="str">
            <v>2009-02-08</v>
          </cell>
          <cell r="T32" t="str">
            <v>Średnia - liceum</v>
          </cell>
          <cell r="U32">
            <v>3</v>
          </cell>
          <cell r="V32" t="str">
            <v>Tak (lub kolejny członek rodziny)</v>
          </cell>
          <cell r="Y32" t="str">
            <v>068/2025</v>
          </cell>
          <cell r="AA32">
            <v>25</v>
          </cell>
          <cell r="AB32" t="str">
            <v>wrzesień 2025</v>
          </cell>
          <cell r="AC32" t="str">
            <v>maj 2026 (koniec zajęć w roku szkolnym 2025/2026)</v>
          </cell>
          <cell r="AM32">
            <v>64</v>
          </cell>
        </row>
        <row r="33">
          <cell r="B33">
            <v>45846.47179398148</v>
          </cell>
          <cell r="C33" t="str">
            <v>Julia</v>
          </cell>
          <cell r="D33" t="str">
            <v>Kuhnwald</v>
          </cell>
          <cell r="G33" t="str">
            <v>Beata</v>
          </cell>
          <cell r="H33" t="str">
            <v>Kuhnwald</v>
          </cell>
          <cell r="I33" t="str">
            <v>+48 698 028 045</v>
          </cell>
          <cell r="J33" t="str">
            <v>beatakuhnwald@gmail.com</v>
          </cell>
          <cell r="O33" t="str">
            <v>Z-zorganizowana</v>
          </cell>
          <cell r="P33" t="str">
            <v>Język angielski</v>
          </cell>
          <cell r="Q33" t="str">
            <v>Ósmoklasisty</v>
          </cell>
          <cell r="S33" t="str">
            <v>2011-03-07</v>
          </cell>
          <cell r="T33" t="str">
            <v>Podstawowa</v>
          </cell>
          <cell r="U33">
            <v>8</v>
          </cell>
          <cell r="V33" t="str">
            <v>Tak (lub kolejny członek rodziny)</v>
          </cell>
          <cell r="Y33" t="str">
            <v>001/2025</v>
          </cell>
          <cell r="AA33">
            <v>15</v>
          </cell>
          <cell r="AB33" t="str">
            <v>wrzesień 2025</v>
          </cell>
          <cell r="AC33" t="str">
            <v>maj 2026 (koniec zajęć w roku szkolnym 2025/2026)</v>
          </cell>
          <cell r="AM33">
            <v>64</v>
          </cell>
        </row>
        <row r="34">
          <cell r="B34">
            <v>45848.910208333335</v>
          </cell>
          <cell r="C34" t="str">
            <v>Klaudia</v>
          </cell>
          <cell r="D34" t="str">
            <v>Jastrzębska</v>
          </cell>
          <cell r="G34" t="str">
            <v>Barbara</v>
          </cell>
          <cell r="H34" t="str">
            <v>Jastrzebska</v>
          </cell>
          <cell r="I34" t="str">
            <v>+48 513 706 571</v>
          </cell>
          <cell r="J34" t="str">
            <v>jastrzebskabarbara09@gmail.com</v>
          </cell>
          <cell r="O34" t="str">
            <v>1-osobowa</v>
          </cell>
          <cell r="P34" t="str">
            <v>Język angielski</v>
          </cell>
          <cell r="Q34" t="str">
            <v>Maturalny</v>
          </cell>
          <cell r="S34" t="str">
            <v>2009-02-17</v>
          </cell>
          <cell r="T34" t="str">
            <v>Średnia - liceum</v>
          </cell>
          <cell r="U34">
            <v>3</v>
          </cell>
          <cell r="V34" t="str">
            <v>Tak (lub kolejny członek rodziny)</v>
          </cell>
          <cell r="Y34" t="str">
            <v>045</v>
          </cell>
          <cell r="AA34">
            <v>15</v>
          </cell>
          <cell r="AB34" t="str">
            <v>wrzesień 2025</v>
          </cell>
          <cell r="AC34" t="str">
            <v>czerwiec 2026</v>
          </cell>
          <cell r="AM34">
            <v>33</v>
          </cell>
        </row>
        <row r="35">
          <cell r="B35">
            <v>45849.574803240743</v>
          </cell>
          <cell r="C35" t="str">
            <v>Monika</v>
          </cell>
          <cell r="D35" t="str">
            <v>Nidzworska</v>
          </cell>
          <cell r="G35" t="str">
            <v>Monika</v>
          </cell>
          <cell r="H35" t="str">
            <v>Nidzworska</v>
          </cell>
          <cell r="I35" t="str">
            <v>+48 500 222 926</v>
          </cell>
          <cell r="J35" t="str">
            <v>monikakazanice12@wp.pl</v>
          </cell>
          <cell r="O35" t="str">
            <v>3-osobowa</v>
          </cell>
          <cell r="P35" t="str">
            <v>Język angielski</v>
          </cell>
          <cell r="V35" t="str">
            <v>Nie</v>
          </cell>
          <cell r="Y35"/>
          <cell r="AA35">
            <v>15</v>
          </cell>
          <cell r="AB35" t="str">
            <v>wrzesień 2025</v>
          </cell>
          <cell r="AC35" t="str">
            <v>sierpień 2026</v>
          </cell>
          <cell r="AM35">
            <v>64</v>
          </cell>
        </row>
        <row r="36">
          <cell r="B36">
            <v>45849.769618055558</v>
          </cell>
          <cell r="C36" t="str">
            <v>Zuzanna</v>
          </cell>
          <cell r="D36" t="str">
            <v>Adamska</v>
          </cell>
          <cell r="G36" t="str">
            <v>Sylwia</v>
          </cell>
          <cell r="H36" t="str">
            <v>Adamska</v>
          </cell>
          <cell r="I36" t="str">
            <v>+48 511 863 758</v>
          </cell>
          <cell r="J36" t="str">
            <v>sylwiacwiklinska4@wp.pl</v>
          </cell>
          <cell r="O36" t="str">
            <v>3-osobowa</v>
          </cell>
          <cell r="P36" t="str">
            <v>Język angielski</v>
          </cell>
          <cell r="Q36"/>
          <cell r="S36" t="str">
            <v>2015-11-15</v>
          </cell>
          <cell r="T36" t="str">
            <v>Podstawowa</v>
          </cell>
          <cell r="U36">
            <v>4</v>
          </cell>
          <cell r="V36" t="str">
            <v>Tak (lub kolejny członek rodziny)</v>
          </cell>
          <cell r="Y36" t="str">
            <v>036/2025</v>
          </cell>
          <cell r="AA36">
            <v>25</v>
          </cell>
          <cell r="AB36" t="str">
            <v>wrzesień 2025</v>
          </cell>
          <cell r="AC36" t="str">
            <v>czerwiec 2026</v>
          </cell>
          <cell r="AM36">
            <v>33</v>
          </cell>
        </row>
        <row r="37">
          <cell r="B37">
            <v>45850.458715277775</v>
          </cell>
          <cell r="C37" t="str">
            <v>Natan</v>
          </cell>
          <cell r="D37" t="str">
            <v>Gogolew</v>
          </cell>
          <cell r="G37" t="str">
            <v>Milena</v>
          </cell>
          <cell r="H37" t="str">
            <v>Gogolew</v>
          </cell>
          <cell r="I37" t="str">
            <v>+48 724 175 940</v>
          </cell>
          <cell r="J37" t="str">
            <v>milena.gogolew@wp.pl</v>
          </cell>
          <cell r="O37" t="str">
            <v>Z-zorganizowana</v>
          </cell>
          <cell r="P37" t="str">
            <v>Język angielski</v>
          </cell>
          <cell r="Q37" t="str">
            <v>Ósmoklasisty</v>
          </cell>
          <cell r="S37" t="str">
            <v>2011-11-16</v>
          </cell>
          <cell r="T37" t="str">
            <v>Podstawowa</v>
          </cell>
          <cell r="U37">
            <v>8</v>
          </cell>
          <cell r="V37" t="str">
            <v>Tak (lub kolejny członek rodziny)</v>
          </cell>
          <cell r="Y37" t="str">
            <v>008/2025</v>
          </cell>
          <cell r="AA37">
            <v>15</v>
          </cell>
          <cell r="AB37" t="str">
            <v>wrzesień 2025</v>
          </cell>
          <cell r="AC37" t="str">
            <v>maj 2026 (koniec zajęć w roku szkolnym 2025/2026)</v>
          </cell>
          <cell r="AM37">
            <v>58</v>
          </cell>
        </row>
        <row r="38">
          <cell r="B38">
            <v>45852.480717592596</v>
          </cell>
          <cell r="C38" t="str">
            <v>Nela</v>
          </cell>
          <cell r="D38" t="str">
            <v>Gromek</v>
          </cell>
          <cell r="G38" t="str">
            <v>Anna</v>
          </cell>
          <cell r="H38" t="str">
            <v>Gromek</v>
          </cell>
          <cell r="I38" t="str">
            <v>+48 798 678 131</v>
          </cell>
          <cell r="J38" t="str">
            <v>annaosowska10@wp.pl</v>
          </cell>
          <cell r="O38" t="str">
            <v>Z-zorganizowana</v>
          </cell>
          <cell r="P38" t="str">
            <v>Język angielski</v>
          </cell>
          <cell r="S38" t="str">
            <v>2010-05-16</v>
          </cell>
          <cell r="T38" t="str">
            <v>Średnia - liceum</v>
          </cell>
          <cell r="U38">
            <v>1</v>
          </cell>
          <cell r="V38" t="str">
            <v>Nie</v>
          </cell>
          <cell r="Y38"/>
          <cell r="AA38">
            <v>15</v>
          </cell>
          <cell r="AB38" t="str">
            <v>wrzesień 2025</v>
          </cell>
          <cell r="AC38" t="str">
            <v>maj 2026 (koniec zajęć w roku szkolnym 2025/2026)</v>
          </cell>
          <cell r="AM38">
            <v>64</v>
          </cell>
        </row>
        <row r="39">
          <cell r="B39">
            <v>45853.851388888892</v>
          </cell>
          <cell r="C39" t="str">
            <v>PIOTR</v>
          </cell>
          <cell r="D39" t="str">
            <v>KŁOSOWSKI</v>
          </cell>
          <cell r="G39" t="str">
            <v>Ewa</v>
          </cell>
          <cell r="H39" t="str">
            <v>Owierkowicz</v>
          </cell>
          <cell r="I39" t="str">
            <v>+48 507 104 808</v>
          </cell>
          <cell r="J39" t="str">
            <v>ewaowier@o2.pl</v>
          </cell>
          <cell r="O39" t="str">
            <v>Z-zorganizowana</v>
          </cell>
          <cell r="P39" t="str">
            <v>Język angielski</v>
          </cell>
          <cell r="Q39" t="str">
            <v>Ósmoklasisty</v>
          </cell>
          <cell r="S39" t="str">
            <v>2013-05-30</v>
          </cell>
          <cell r="T39" t="str">
            <v>Podstawowa</v>
          </cell>
          <cell r="U39">
            <v>6</v>
          </cell>
          <cell r="V39" t="str">
            <v>Tak (lub kolejny członek rodziny)</v>
          </cell>
          <cell r="Y39" t="str">
            <v>032/2025</v>
          </cell>
          <cell r="AA39">
            <v>5</v>
          </cell>
          <cell r="AB39" t="str">
            <v>wrzesień 2025</v>
          </cell>
          <cell r="AC39" t="str">
            <v>maj 2026 (koniec zajęć w roku szkolnym 2025/2026)</v>
          </cell>
          <cell r="AM39">
            <v>58</v>
          </cell>
        </row>
        <row r="40">
          <cell r="B40">
            <v>45853.855023148149</v>
          </cell>
          <cell r="C40" t="str">
            <v>MARIUSZ</v>
          </cell>
          <cell r="D40" t="str">
            <v>KŁOSOWSKI</v>
          </cell>
          <cell r="G40" t="str">
            <v>Ewa</v>
          </cell>
          <cell r="H40" t="str">
            <v>Owierkowicz</v>
          </cell>
          <cell r="I40" t="str">
            <v>+48 507 104 808</v>
          </cell>
          <cell r="J40" t="str">
            <v>ewaowier@o2.pl</v>
          </cell>
          <cell r="O40" t="str">
            <v>Z-zorganizowana</v>
          </cell>
          <cell r="P40" t="str">
            <v>Język angielski</v>
          </cell>
          <cell r="Q40" t="str">
            <v>Maturalny</v>
          </cell>
          <cell r="S40" t="str">
            <v>2010-08-27</v>
          </cell>
          <cell r="T40" t="str">
            <v>Średnia - technikum</v>
          </cell>
          <cell r="U40">
            <v>1</v>
          </cell>
          <cell r="V40" t="str">
            <v>Tak (lub kolejny członek rodziny)</v>
          </cell>
          <cell r="Y40" t="str">
            <v>013/2025</v>
          </cell>
          <cell r="AA40">
            <v>5</v>
          </cell>
          <cell r="AB40" t="str">
            <v>wrzesień 2025</v>
          </cell>
          <cell r="AC40" t="str">
            <v>maj 2026 (koniec zajęć w roku szkolnym 2025/2026)</v>
          </cell>
          <cell r="AM40">
            <v>58</v>
          </cell>
        </row>
        <row r="41">
          <cell r="B41">
            <v>45854.30296296296</v>
          </cell>
          <cell r="C41" t="str">
            <v>Julia</v>
          </cell>
          <cell r="D41" t="str">
            <v>Kanicz</v>
          </cell>
          <cell r="G41" t="str">
            <v>Joanna</v>
          </cell>
          <cell r="H41" t="str">
            <v>Kanicz</v>
          </cell>
          <cell r="I41" t="str">
            <v>+48 509 188 615</v>
          </cell>
          <cell r="J41" t="str">
            <v>jkanicz@wp.pl</v>
          </cell>
          <cell r="O41" t="str">
            <v>Z-zorganizowana</v>
          </cell>
          <cell r="P41" t="str">
            <v>Język angielski</v>
          </cell>
          <cell r="Q41" t="str">
            <v>Maturalny</v>
          </cell>
          <cell r="S41" t="str">
            <v>2008-05-05</v>
          </cell>
          <cell r="T41" t="str">
            <v>Średnia - liceum</v>
          </cell>
          <cell r="U41">
            <v>4</v>
          </cell>
          <cell r="V41" t="str">
            <v>Tak (lub kolejny członek rodziny)</v>
          </cell>
          <cell r="Y41" t="str">
            <v>062/2025</v>
          </cell>
          <cell r="AA41">
            <v>25</v>
          </cell>
          <cell r="AB41" t="str">
            <v>wrzesień 2025</v>
          </cell>
          <cell r="AC41" t="str">
            <v>czerwiec 2026</v>
          </cell>
          <cell r="AM41">
            <v>58</v>
          </cell>
        </row>
        <row r="42">
          <cell r="B42">
            <v>45854.778831018521</v>
          </cell>
          <cell r="C42" t="str">
            <v>Filip</v>
          </cell>
          <cell r="D42" t="str">
            <v>Czapski</v>
          </cell>
          <cell r="G42" t="str">
            <v>Monika</v>
          </cell>
          <cell r="H42" t="str">
            <v>Czapska</v>
          </cell>
          <cell r="I42" t="str">
            <v>+48 668 502 724</v>
          </cell>
          <cell r="J42" t="str">
            <v>monzak15@wp.pl</v>
          </cell>
          <cell r="O42" t="str">
            <v>1-osobowa</v>
          </cell>
          <cell r="P42" t="str">
            <v>Język angielski</v>
          </cell>
          <cell r="Q42" t="str">
            <v>Ósmoklasisty</v>
          </cell>
          <cell r="S42" t="str">
            <v>2011-12-13</v>
          </cell>
          <cell r="T42" t="str">
            <v>Podstawowa</v>
          </cell>
          <cell r="U42">
            <v>8</v>
          </cell>
          <cell r="V42" t="str">
            <v>Tak (lub kolejny członek rodziny)</v>
          </cell>
          <cell r="Y42"/>
          <cell r="AA42">
            <v>15</v>
          </cell>
          <cell r="AB42" t="str">
            <v>wrzesień 2025</v>
          </cell>
          <cell r="AC42" t="str">
            <v>maj 2026 (koniec zajęć w roku szkolnym 2025/2026)</v>
          </cell>
          <cell r="AM42">
            <v>33</v>
          </cell>
        </row>
        <row r="43">
          <cell r="B43">
            <v>45854.780497685184</v>
          </cell>
          <cell r="C43" t="str">
            <v>Filip</v>
          </cell>
          <cell r="D43" t="str">
            <v>Czapski</v>
          </cell>
          <cell r="G43" t="str">
            <v>Monika</v>
          </cell>
          <cell r="H43" t="str">
            <v>Czapska</v>
          </cell>
          <cell r="I43" t="str">
            <v>+48 668 502 724</v>
          </cell>
          <cell r="J43" t="str">
            <v>monzak15@wp.pl</v>
          </cell>
          <cell r="O43" t="str">
            <v>1-osobowa</v>
          </cell>
          <cell r="P43" t="str">
            <v>Język polski</v>
          </cell>
          <cell r="Q43" t="str">
            <v>Ósmoklasisty</v>
          </cell>
          <cell r="S43" t="str">
            <v>2011-12-13</v>
          </cell>
          <cell r="T43" t="str">
            <v>Podstawowa</v>
          </cell>
          <cell r="U43">
            <v>8</v>
          </cell>
          <cell r="V43" t="str">
            <v>Tak (lub kolejny członek rodziny)</v>
          </cell>
          <cell r="Y43"/>
          <cell r="AA43">
            <v>15</v>
          </cell>
          <cell r="AB43" t="str">
            <v>wrzesień 2025</v>
          </cell>
          <cell r="AC43" t="str">
            <v>maj 2026 (koniec zajęć w roku szkolnym 2025/2026)</v>
          </cell>
          <cell r="AM43">
            <v>33</v>
          </cell>
        </row>
        <row r="44">
          <cell r="B44">
            <v>45854.781701388885</v>
          </cell>
          <cell r="C44" t="str">
            <v>Filip</v>
          </cell>
          <cell r="D44" t="str">
            <v>Czapski</v>
          </cell>
          <cell r="G44" t="str">
            <v>Monika</v>
          </cell>
          <cell r="H44" t="str">
            <v>Czapska</v>
          </cell>
          <cell r="I44" t="str">
            <v>+48 668 502 724</v>
          </cell>
          <cell r="J44" t="str">
            <v>monzak15@wp.pl</v>
          </cell>
          <cell r="O44" t="str">
            <v>1-osobowa</v>
          </cell>
          <cell r="P44" t="str">
            <v>Matematyka</v>
          </cell>
          <cell r="Q44" t="str">
            <v>Ósmoklasisty</v>
          </cell>
          <cell r="S44" t="str">
            <v>2011-12-13</v>
          </cell>
          <cell r="T44" t="str">
            <v>Podstawowa</v>
          </cell>
          <cell r="U44">
            <v>8</v>
          </cell>
          <cell r="V44" t="str">
            <v>Tak (lub kolejny członek rodziny)</v>
          </cell>
          <cell r="Y44"/>
          <cell r="AA44">
            <v>15</v>
          </cell>
          <cell r="AB44" t="str">
            <v>wrzesień 2025</v>
          </cell>
          <cell r="AC44" t="str">
            <v>maj 2026 (koniec zajęć w roku szkolnym 2025/2026)</v>
          </cell>
          <cell r="AM44">
            <v>33</v>
          </cell>
        </row>
        <row r="45">
          <cell r="B45">
            <v>45856.765625</v>
          </cell>
          <cell r="C45" t="str">
            <v>Mateusz</v>
          </cell>
          <cell r="D45" t="str">
            <v>Gamalski</v>
          </cell>
          <cell r="G45" t="str">
            <v>Hanna</v>
          </cell>
          <cell r="H45" t="str">
            <v>Gamalska</v>
          </cell>
          <cell r="I45" t="str">
            <v>+48 791 521 882</v>
          </cell>
          <cell r="J45" t="str">
            <v>t.gamalski@gmail.com</v>
          </cell>
          <cell r="O45" t="str">
            <v>Z-zorganizowana</v>
          </cell>
          <cell r="P45" t="str">
            <v>Język angielski</v>
          </cell>
          <cell r="Q45" t="str">
            <v>Maturalny</v>
          </cell>
          <cell r="V45" t="str">
            <v>Tak (lub kolejny członek rodziny)</v>
          </cell>
          <cell r="Y45" t="str">
            <v>060/2025</v>
          </cell>
          <cell r="AA45">
            <v>15</v>
          </cell>
          <cell r="AB45" t="str">
            <v>wrzesień 2025</v>
          </cell>
          <cell r="AC45" t="str">
            <v>maj 2026 (koniec zajęć w roku szkolnym 2025/2026)</v>
          </cell>
          <cell r="AM45">
            <v>64</v>
          </cell>
        </row>
        <row r="46">
          <cell r="B46">
            <v>45859.678506944445</v>
          </cell>
          <cell r="C46" t="str">
            <v>Julia</v>
          </cell>
          <cell r="D46" t="str">
            <v>Wasiak</v>
          </cell>
          <cell r="G46" t="str">
            <v>Julia</v>
          </cell>
          <cell r="H46" t="str">
            <v>Wasiak</v>
          </cell>
          <cell r="I46" t="str">
            <v>+48 536 816 018</v>
          </cell>
          <cell r="J46" t="str">
            <v>julksonwasiak@gmail.com</v>
          </cell>
          <cell r="O46" t="str">
            <v>1-osobowa</v>
          </cell>
          <cell r="P46" t="str">
            <v>Język angielski</v>
          </cell>
          <cell r="V46" t="str">
            <v>Tak (lub kolejny członek rodziny)</v>
          </cell>
          <cell r="Y46"/>
          <cell r="AA46">
            <v>15</v>
          </cell>
          <cell r="AB46" t="str">
            <v>wrzesień 2025</v>
          </cell>
          <cell r="AC46" t="str">
            <v>czerwiec 2026</v>
          </cell>
          <cell r="AM46">
            <v>33</v>
          </cell>
        </row>
        <row r="47">
          <cell r="B47">
            <v>45861.343356481484</v>
          </cell>
          <cell r="C47" t="str">
            <v>Anna</v>
          </cell>
          <cell r="D47" t="str">
            <v>Małkiewicz</v>
          </cell>
          <cell r="G47" t="str">
            <v>Agnieszka</v>
          </cell>
          <cell r="H47" t="str">
            <v>Małkiewicz</v>
          </cell>
          <cell r="I47" t="str">
            <v>+48 505 313 331</v>
          </cell>
          <cell r="J47" t="str">
            <v>agnieszka-pokojska@wp.pl</v>
          </cell>
          <cell r="O47" t="str">
            <v>Z-zorganizowana</v>
          </cell>
          <cell r="P47" t="str">
            <v>Język angielski</v>
          </cell>
          <cell r="Q47" t="str">
            <v>Ósmoklasisty</v>
          </cell>
          <cell r="S47" t="str">
            <v>2012-02-15</v>
          </cell>
          <cell r="T47" t="str">
            <v>Podstawowa</v>
          </cell>
          <cell r="U47">
            <v>7</v>
          </cell>
          <cell r="V47" t="str">
            <v>Tak (lub kolejny członek rodziny)</v>
          </cell>
          <cell r="Y47" t="str">
            <v>044/2025</v>
          </cell>
          <cell r="AA47">
            <v>15</v>
          </cell>
          <cell r="AB47" t="str">
            <v>wrzesień 2025</v>
          </cell>
          <cell r="AC47" t="str">
            <v>maj 2026 (koniec zajęć w roku szkolnym 2025/2026)</v>
          </cell>
          <cell r="AM47">
            <v>64</v>
          </cell>
        </row>
        <row r="48">
          <cell r="B48">
            <v>45861.364351851851</v>
          </cell>
          <cell r="C48" t="str">
            <v>Katarzyna</v>
          </cell>
          <cell r="D48" t="str">
            <v>Małkiewicz</v>
          </cell>
          <cell r="G48" t="str">
            <v>Agnieszka</v>
          </cell>
          <cell r="H48" t="str">
            <v>Małkiewicz</v>
          </cell>
          <cell r="I48" t="str">
            <v>+48 505 313 331</v>
          </cell>
          <cell r="J48" t="str">
            <v>agnieszka-pokojska@wp.pl</v>
          </cell>
          <cell r="O48" t="str">
            <v>Z-zorganizowana</v>
          </cell>
          <cell r="P48" t="str">
            <v>Język angielski</v>
          </cell>
          <cell r="S48" t="str">
            <v>2016-06-04</v>
          </cell>
          <cell r="T48" t="str">
            <v>Podstawowa</v>
          </cell>
          <cell r="U48">
            <v>3</v>
          </cell>
          <cell r="V48" t="str">
            <v>Nie</v>
          </cell>
          <cell r="Y48"/>
          <cell r="AA48">
            <v>15</v>
          </cell>
          <cell r="AB48" t="str">
            <v>wrzesień 2025</v>
          </cell>
          <cell r="AC48" t="str">
            <v>maj 2026 (koniec zajęć w roku szkolnym 2025/2026)</v>
          </cell>
          <cell r="AM48">
            <v>64</v>
          </cell>
        </row>
        <row r="49">
          <cell r="B49">
            <v>45864.852719907409</v>
          </cell>
          <cell r="C49" t="str">
            <v>Dorota</v>
          </cell>
          <cell r="D49" t="str">
            <v>Gamalska</v>
          </cell>
          <cell r="G49" t="str">
            <v>Hanna</v>
          </cell>
          <cell r="H49" t="str">
            <v>Gamalska</v>
          </cell>
          <cell r="I49" t="str">
            <v>+48 791 521 882</v>
          </cell>
          <cell r="J49" t="str">
            <v>t.gamalski@gmail.com</v>
          </cell>
          <cell r="O49" t="str">
            <v>Z-zorganizowana</v>
          </cell>
          <cell r="P49" t="str">
            <v>Język angielski</v>
          </cell>
          <cell r="S49" t="str">
            <v>2009-06-09</v>
          </cell>
          <cell r="T49" t="str">
            <v>Średnia - liceum</v>
          </cell>
          <cell r="U49">
            <v>3</v>
          </cell>
          <cell r="V49" t="str">
            <v>Tak (lub kolejny członek rodziny)</v>
          </cell>
          <cell r="Y49" t="str">
            <v>104/2025</v>
          </cell>
          <cell r="AA49">
            <v>15</v>
          </cell>
          <cell r="AB49" t="str">
            <v>wrzesień 2025</v>
          </cell>
          <cell r="AC49" t="str">
            <v>maj 2026 (koniec zajęć w roku szkolnym 2025/2026)</v>
          </cell>
          <cell r="AM49">
            <v>64</v>
          </cell>
        </row>
        <row r="50">
          <cell r="B50">
            <v>45866.683611111112</v>
          </cell>
          <cell r="C50" t="str">
            <v>Alan</v>
          </cell>
          <cell r="D50" t="str">
            <v>Fabisiak</v>
          </cell>
          <cell r="G50" t="str">
            <v>Kamila</v>
          </cell>
          <cell r="H50" t="str">
            <v>Kozłowska</v>
          </cell>
          <cell r="I50" t="str">
            <v>+48 696 465 902</v>
          </cell>
          <cell r="J50" t="str">
            <v>kozlowska.kamila.maria@gmail.com</v>
          </cell>
          <cell r="O50" t="str">
            <v>Z-zorganizowana</v>
          </cell>
          <cell r="P50" t="str">
            <v>Język angielski</v>
          </cell>
          <cell r="S50" t="str">
            <v>2015-02-15</v>
          </cell>
          <cell r="T50" t="str">
            <v>Podstawowa</v>
          </cell>
          <cell r="U50">
            <v>4</v>
          </cell>
          <cell r="V50" t="str">
            <v>Nie</v>
          </cell>
          <cell r="Y50"/>
          <cell r="AA50">
            <v>5</v>
          </cell>
          <cell r="AB50" t="str">
            <v>wrzesień 2025</v>
          </cell>
          <cell r="AC50" t="str">
            <v>maj 2026 (koniec zajęć w roku szkolnym 2025/2026)</v>
          </cell>
          <cell r="AM50">
            <v>64</v>
          </cell>
        </row>
        <row r="51">
          <cell r="B51">
            <v>45866.7891087963</v>
          </cell>
          <cell r="C51" t="str">
            <v>Weronika</v>
          </cell>
          <cell r="D51" t="str">
            <v>Smoczyńska</v>
          </cell>
          <cell r="G51" t="str">
            <v>Magdalena</v>
          </cell>
          <cell r="H51" t="str">
            <v>Smoczyńska</v>
          </cell>
          <cell r="I51" t="str">
            <v>+48 533 946 324</v>
          </cell>
          <cell r="J51" t="str">
            <v>smoczynskam1@gmail.com</v>
          </cell>
          <cell r="O51" t="str">
            <v>Z-zorganizowana</v>
          </cell>
          <cell r="P51" t="str">
            <v>Język angielski</v>
          </cell>
          <cell r="Q51" t="str">
            <v>Ósmoklasisty</v>
          </cell>
          <cell r="S51" t="str">
            <v>2011-05-06</v>
          </cell>
          <cell r="T51" t="str">
            <v>Podstawowa</v>
          </cell>
          <cell r="U51">
            <v>8</v>
          </cell>
          <cell r="V51" t="str">
            <v>Tak (lub kolejny członek rodziny)</v>
          </cell>
          <cell r="Y51" t="str">
            <v>011/2025</v>
          </cell>
          <cell r="AA51">
            <v>5</v>
          </cell>
          <cell r="AB51" t="str">
            <v>październik 2025</v>
          </cell>
          <cell r="AC51" t="str">
            <v>maj 2026 (koniec zajęć w roku szkolnym 2025/2026)</v>
          </cell>
          <cell r="AM51">
            <v>64</v>
          </cell>
        </row>
        <row r="52">
          <cell r="B52">
            <v>45866.792754629627</v>
          </cell>
          <cell r="C52" t="str">
            <v>Weronika</v>
          </cell>
          <cell r="D52" t="str">
            <v>Smoczyńska</v>
          </cell>
          <cell r="G52" t="str">
            <v>Magdalena</v>
          </cell>
          <cell r="H52" t="str">
            <v>Smoczyńska</v>
          </cell>
          <cell r="I52" t="str">
            <v>+48 533 946 324</v>
          </cell>
          <cell r="J52" t="str">
            <v>smoczynskam1@gmail.com</v>
          </cell>
          <cell r="O52" t="str">
            <v>3-osobowa</v>
          </cell>
          <cell r="P52" t="str">
            <v>Matematyka</v>
          </cell>
          <cell r="Q52" t="str">
            <v>Ósmoklasisty</v>
          </cell>
          <cell r="S52" t="str">
            <v>2011-05-06</v>
          </cell>
          <cell r="T52" t="str">
            <v>Podstawowa</v>
          </cell>
          <cell r="U52">
            <v>8</v>
          </cell>
          <cell r="V52" t="str">
            <v>Tak (lub kolejny członek rodziny)</v>
          </cell>
          <cell r="Y52" t="str">
            <v>011/2025</v>
          </cell>
          <cell r="AA52">
            <v>5</v>
          </cell>
          <cell r="AB52" t="str">
            <v>październik 2025</v>
          </cell>
          <cell r="AC52" t="str">
            <v>maj 2026 (koniec zajęć w roku szkolnym 2025/2026)</v>
          </cell>
          <cell r="AM52">
            <v>64</v>
          </cell>
        </row>
        <row r="53">
          <cell r="B53">
            <v>45866.904733796298</v>
          </cell>
          <cell r="C53" t="str">
            <v>Julia</v>
          </cell>
          <cell r="D53" t="str">
            <v>Warmińska</v>
          </cell>
          <cell r="G53" t="str">
            <v>Anna</v>
          </cell>
          <cell r="H53" t="str">
            <v>Warmińska</v>
          </cell>
          <cell r="I53" t="str">
            <v>+48 503 054 169</v>
          </cell>
          <cell r="J53" t="str">
            <v>aniaanna1@o2.pl</v>
          </cell>
          <cell r="O53" t="str">
            <v>Z-zorganizowana</v>
          </cell>
          <cell r="P53" t="str">
            <v>Język angielski</v>
          </cell>
          <cell r="Q53" t="str">
            <v>Ósmoklasisty</v>
          </cell>
          <cell r="S53" t="str">
            <v>2012-04-08</v>
          </cell>
          <cell r="T53" t="str">
            <v>Podstawowa</v>
          </cell>
          <cell r="U53">
            <v>7</v>
          </cell>
          <cell r="V53" t="str">
            <v>Tak (lub kolejny członek rodziny)</v>
          </cell>
          <cell r="Y53" t="str">
            <v>042/2025</v>
          </cell>
          <cell r="AA53">
            <v>5</v>
          </cell>
          <cell r="AB53" t="str">
            <v>październik 2025</v>
          </cell>
          <cell r="AC53" t="str">
            <v>maj 2026 (koniec zajęć w roku szkolnym 2025/2026)</v>
          </cell>
          <cell r="AM53">
            <v>64</v>
          </cell>
        </row>
        <row r="54">
          <cell r="B54">
            <v>45867.365613425929</v>
          </cell>
          <cell r="C54" t="str">
            <v>Anna</v>
          </cell>
          <cell r="D54" t="str">
            <v>Lubieniecka</v>
          </cell>
          <cell r="G54" t="str">
            <v>Marek</v>
          </cell>
          <cell r="H54" t="str">
            <v>Lubieniecki</v>
          </cell>
          <cell r="I54" t="str">
            <v>+48 510 990 993</v>
          </cell>
          <cell r="J54" t="str">
            <v>marko23237@wp.pl</v>
          </cell>
          <cell r="O54" t="str">
            <v>Z-zorganizowana</v>
          </cell>
          <cell r="P54" t="str">
            <v>Język angielski</v>
          </cell>
          <cell r="S54" t="str">
            <v>2014-03-12</v>
          </cell>
          <cell r="T54" t="str">
            <v>Podstawowa</v>
          </cell>
          <cell r="U54">
            <v>5</v>
          </cell>
          <cell r="V54" t="str">
            <v>Tak (lub kolejny członek rodziny)</v>
          </cell>
          <cell r="Y54" t="str">
            <v>039/2025</v>
          </cell>
          <cell r="AA54">
            <v>15</v>
          </cell>
          <cell r="AB54" t="str">
            <v>wrzesień 2025</v>
          </cell>
          <cell r="AC54" t="str">
            <v>maj 2026 (koniec zajęć w roku szkolnym 2025/2026)</v>
          </cell>
          <cell r="AM54">
            <v>64</v>
          </cell>
        </row>
        <row r="55">
          <cell r="B55">
            <v>45867.768784722219</v>
          </cell>
          <cell r="C55" t="str">
            <v>Jakub</v>
          </cell>
          <cell r="D55" t="str">
            <v>Krawczyk</v>
          </cell>
          <cell r="G55" t="str">
            <v>Patrycja</v>
          </cell>
          <cell r="H55" t="str">
            <v>Krawczyk</v>
          </cell>
          <cell r="I55" t="str">
            <v>+48 509 961 968</v>
          </cell>
          <cell r="J55" t="str">
            <v>bodek80@onet.eu</v>
          </cell>
          <cell r="O55" t="str">
            <v>Z-zorganizowana</v>
          </cell>
          <cell r="P55" t="str">
            <v>Język angielski</v>
          </cell>
          <cell r="Q55" t="str">
            <v>Ósmoklasisty</v>
          </cell>
          <cell r="S55" t="str">
            <v>2011-02-22</v>
          </cell>
          <cell r="T55" t="str">
            <v>Podstawowa</v>
          </cell>
          <cell r="U55">
            <v>8</v>
          </cell>
          <cell r="V55" t="str">
            <v>Nie</v>
          </cell>
          <cell r="Y55"/>
          <cell r="AA55">
            <v>15</v>
          </cell>
          <cell r="AB55" t="str">
            <v>wrzesień 2025</v>
          </cell>
          <cell r="AC55" t="str">
            <v>kwiecień 2026</v>
          </cell>
          <cell r="AM55">
            <v>64</v>
          </cell>
        </row>
        <row r="56">
          <cell r="B56">
            <v>45868.821666666663</v>
          </cell>
          <cell r="C56" t="str">
            <v>AGATA</v>
          </cell>
          <cell r="D56" t="str">
            <v>ZIELIŃSKA</v>
          </cell>
          <cell r="G56" t="str">
            <v>KINGA</v>
          </cell>
          <cell r="H56" t="str">
            <v>ZIELIŃSKA</v>
          </cell>
          <cell r="I56" t="str">
            <v>+48 513 875 594</v>
          </cell>
          <cell r="J56" t="str">
            <v>kzielinska46@wp.pl</v>
          </cell>
          <cell r="O56" t="str">
            <v>Z-zorganizowana</v>
          </cell>
          <cell r="P56" t="str">
            <v>Język angielski</v>
          </cell>
          <cell r="Q56" t="str">
            <v>Ósmoklasisty</v>
          </cell>
          <cell r="S56" t="str">
            <v>2011-06-11</v>
          </cell>
          <cell r="T56" t="str">
            <v>Podstawowa</v>
          </cell>
          <cell r="U56">
            <v>8</v>
          </cell>
          <cell r="V56" t="str">
            <v>Tak (lub kolejny członek rodziny)</v>
          </cell>
          <cell r="Y56"/>
          <cell r="AA56">
            <v>25</v>
          </cell>
          <cell r="AB56" t="str">
            <v>wrzesień 2025</v>
          </cell>
          <cell r="AC56" t="str">
            <v>maj 2026 (koniec zajęć w roku szkolnym 2025/2026)</v>
          </cell>
          <cell r="AM56">
            <v>64</v>
          </cell>
        </row>
        <row r="57">
          <cell r="B57">
            <v>45868.875590277778</v>
          </cell>
          <cell r="C57" t="str">
            <v>Maksymilian</v>
          </cell>
          <cell r="D57" t="str">
            <v>Wilary</v>
          </cell>
          <cell r="G57" t="str">
            <v>Maksymilian</v>
          </cell>
          <cell r="H57" t="str">
            <v>Wilary</v>
          </cell>
          <cell r="I57" t="str">
            <v>+48 733 236 057</v>
          </cell>
          <cell r="J57" t="str">
            <v>maksymilian5802@gmail.com</v>
          </cell>
          <cell r="O57" t="str">
            <v>Z-zorganizowana</v>
          </cell>
          <cell r="P57" t="str">
            <v>Język angielski</v>
          </cell>
          <cell r="Q57" t="str">
            <v>Maturalny</v>
          </cell>
          <cell r="V57" t="str">
            <v>Tak (lub kolejny członek rodziny)</v>
          </cell>
          <cell r="Y57" t="str">
            <v>073/2025</v>
          </cell>
          <cell r="AA57">
            <v>15</v>
          </cell>
          <cell r="AB57" t="str">
            <v>wrzesień 2025</v>
          </cell>
          <cell r="AC57" t="str">
            <v>maj 2026 (koniec zajęć w roku szkolnym 2025/2026)</v>
          </cell>
          <cell r="AM57">
            <v>58</v>
          </cell>
        </row>
        <row r="58">
          <cell r="B58">
            <v>45873.402245370373</v>
          </cell>
          <cell r="C58" t="str">
            <v>Mateusz</v>
          </cell>
          <cell r="D58" t="str">
            <v>Bajor</v>
          </cell>
          <cell r="G58" t="str">
            <v>Alina</v>
          </cell>
          <cell r="H58" t="str">
            <v>Wróblewska</v>
          </cell>
          <cell r="I58" t="str">
            <v>+48 608 729 479</v>
          </cell>
          <cell r="J58" t="str">
            <v>alinakb@wp.pl</v>
          </cell>
          <cell r="O58" t="str">
            <v>1-osobowa</v>
          </cell>
          <cell r="P58" t="str">
            <v>Język angielski</v>
          </cell>
          <cell r="S58" t="str">
            <v>2007-12-03</v>
          </cell>
          <cell r="T58" t="str">
            <v>Średnia - liceum</v>
          </cell>
          <cell r="U58">
            <v>4</v>
          </cell>
          <cell r="V58" t="str">
            <v>Tak (lub kolejny członek rodziny)</v>
          </cell>
          <cell r="Y58"/>
          <cell r="AA58">
            <v>5</v>
          </cell>
          <cell r="AB58" t="str">
            <v>wrzesień 2025</v>
          </cell>
          <cell r="AC58" t="str">
            <v>czerwiec 2026</v>
          </cell>
          <cell r="AM58">
            <v>33</v>
          </cell>
        </row>
        <row r="59">
          <cell r="B59">
            <v>45873.440497685187</v>
          </cell>
          <cell r="C59" t="str">
            <v>Hubert</v>
          </cell>
          <cell r="D59" t="str">
            <v>Szefler</v>
          </cell>
          <cell r="G59" t="str">
            <v>Monika</v>
          </cell>
          <cell r="H59" t="str">
            <v>Szefler</v>
          </cell>
          <cell r="I59" t="str">
            <v>+48 694 210 431</v>
          </cell>
          <cell r="J59" t="str">
            <v>monia8505@wp.pl</v>
          </cell>
          <cell r="O59" t="str">
            <v>3-osobowa</v>
          </cell>
          <cell r="P59" t="str">
            <v>Język angielski</v>
          </cell>
          <cell r="Q59" t="str">
            <v>Ósmoklasisty</v>
          </cell>
          <cell r="S59" t="str">
            <v>2011-03-06</v>
          </cell>
          <cell r="T59" t="str">
            <v>Podstawowa</v>
          </cell>
          <cell r="U59">
            <v>8</v>
          </cell>
          <cell r="V59" t="str">
            <v>Tak (lub kolejny członek rodziny)</v>
          </cell>
          <cell r="Y59" t="str">
            <v>009/2025</v>
          </cell>
          <cell r="AA59">
            <v>5</v>
          </cell>
          <cell r="AB59" t="str">
            <v>wrzesień 2025</v>
          </cell>
          <cell r="AC59" t="str">
            <v>czerwiec 2026</v>
          </cell>
          <cell r="AM59">
            <v>33</v>
          </cell>
        </row>
        <row r="60">
          <cell r="B60">
            <v>45873.94908564815</v>
          </cell>
          <cell r="C60" t="str">
            <v>Antonina</v>
          </cell>
          <cell r="D60" t="str">
            <v>Tatarek</v>
          </cell>
          <cell r="G60" t="str">
            <v>Alina</v>
          </cell>
          <cell r="H60" t="str">
            <v>Witkowska-Tatarek</v>
          </cell>
          <cell r="I60" t="str">
            <v>+48 691 798 987</v>
          </cell>
          <cell r="J60" t="str">
            <v>alina.wit@interia.pl</v>
          </cell>
          <cell r="O60" t="str">
            <v>3-osobowa</v>
          </cell>
          <cell r="P60" t="str">
            <v>Matematyka</v>
          </cell>
          <cell r="Q60" t="str">
            <v>Maturalny</v>
          </cell>
          <cell r="S60" t="str">
            <v>2008-05-14</v>
          </cell>
          <cell r="T60" t="str">
            <v>Średnia - liceum</v>
          </cell>
          <cell r="U60">
            <v>4</v>
          </cell>
          <cell r="V60" t="str">
            <v>Tak (lub kolejny członek rodziny)</v>
          </cell>
          <cell r="Y60" t="str">
            <v>2025/006</v>
          </cell>
          <cell r="AA60">
            <v>15</v>
          </cell>
          <cell r="AB60" t="str">
            <v>wrzesień 2025</v>
          </cell>
          <cell r="AC60" t="str">
            <v>maj 2026 (koniec zajęć w roku szkolnym 2025/2026)</v>
          </cell>
          <cell r="AM60">
            <v>33</v>
          </cell>
        </row>
        <row r="61">
          <cell r="B61">
            <v>45873.952673611115</v>
          </cell>
          <cell r="C61" t="str">
            <v>Antonina</v>
          </cell>
          <cell r="D61" t="str">
            <v>Tatarek</v>
          </cell>
          <cell r="G61" t="str">
            <v>Alina</v>
          </cell>
          <cell r="H61" t="str">
            <v>Witkowska-Tatarek</v>
          </cell>
          <cell r="I61" t="str">
            <v>+48 691 798 987</v>
          </cell>
          <cell r="J61" t="str">
            <v>alina.wit@interia.pl</v>
          </cell>
          <cell r="O61" t="str">
            <v>3-osobowa</v>
          </cell>
          <cell r="P61" t="str">
            <v>Język angielski</v>
          </cell>
          <cell r="Q61" t="str">
            <v>Maturalny</v>
          </cell>
          <cell r="S61" t="str">
            <v>2008-05-14</v>
          </cell>
          <cell r="T61" t="str">
            <v>Średnia - liceum</v>
          </cell>
          <cell r="U61">
            <v>4</v>
          </cell>
          <cell r="V61" t="str">
            <v>Tak (lub kolejny członek rodziny)</v>
          </cell>
          <cell r="Y61" t="str">
            <v>2025/006</v>
          </cell>
          <cell r="AA61">
            <v>15</v>
          </cell>
          <cell r="AB61" t="str">
            <v>wrzesień 2025</v>
          </cell>
          <cell r="AC61" t="str">
            <v>maj 2026 (koniec zajęć w roku szkolnym 2025/2026)</v>
          </cell>
          <cell r="AM61">
            <v>33</v>
          </cell>
        </row>
        <row r="62">
          <cell r="B62">
            <v>45873.956307870372</v>
          </cell>
          <cell r="C62" t="str">
            <v>Małgorzata</v>
          </cell>
          <cell r="D62" t="str">
            <v>Tatarek</v>
          </cell>
          <cell r="G62" t="str">
            <v>Alina</v>
          </cell>
          <cell r="H62" t="str">
            <v>Witkowska-Tatarek</v>
          </cell>
          <cell r="I62" t="str">
            <v>+48 691 798 987</v>
          </cell>
          <cell r="J62" t="str">
            <v>alina.wit@interia.pl</v>
          </cell>
          <cell r="O62" t="str">
            <v>3-osobowa</v>
          </cell>
          <cell r="P62" t="str">
            <v>Język angielski</v>
          </cell>
          <cell r="S62" t="str">
            <v>2010-06-26</v>
          </cell>
          <cell r="T62" t="str">
            <v>Średnia - liceum</v>
          </cell>
          <cell r="U62">
            <v>2</v>
          </cell>
          <cell r="V62" t="str">
            <v>Tak (lub kolejny członek rodziny)</v>
          </cell>
          <cell r="Y62" t="str">
            <v>026/2025</v>
          </cell>
          <cell r="AA62">
            <v>15</v>
          </cell>
          <cell r="AB62" t="str">
            <v>wrzesień 2025</v>
          </cell>
          <cell r="AC62" t="str">
            <v>maj 2026 (koniec zajęć w roku szkolnym 2025/2026)</v>
          </cell>
          <cell r="AM62">
            <v>33</v>
          </cell>
        </row>
        <row r="63">
          <cell r="B63">
            <v>45873.959409722222</v>
          </cell>
          <cell r="C63" t="str">
            <v>Małgorzata</v>
          </cell>
          <cell r="D63" t="str">
            <v>Tatarek</v>
          </cell>
          <cell r="G63" t="str">
            <v>Alina</v>
          </cell>
          <cell r="H63" t="str">
            <v>Witkowska-Tatarek</v>
          </cell>
          <cell r="I63" t="str">
            <v>+48 789 889 095</v>
          </cell>
          <cell r="J63" t="str">
            <v>alina.wit@interia.pl</v>
          </cell>
          <cell r="O63" t="str">
            <v>3-osobowa</v>
          </cell>
          <cell r="P63" t="str">
            <v>Matematyka</v>
          </cell>
          <cell r="S63" t="str">
            <v>2010-06-26</v>
          </cell>
          <cell r="T63" t="str">
            <v>Średnia - liceum</v>
          </cell>
          <cell r="U63">
            <v>2</v>
          </cell>
          <cell r="V63" t="str">
            <v>Tak (lub kolejny członek rodziny)</v>
          </cell>
          <cell r="Y63" t="str">
            <v>026/2025</v>
          </cell>
          <cell r="AA63">
            <v>15</v>
          </cell>
          <cell r="AB63" t="str">
            <v>wrzesień 2025</v>
          </cell>
          <cell r="AC63" t="str">
            <v>maj 2026 (koniec zajęć w roku szkolnym 2025/2026)</v>
          </cell>
          <cell r="AM63">
            <v>33</v>
          </cell>
        </row>
        <row r="64">
          <cell r="B64">
            <v>45875.708194444444</v>
          </cell>
          <cell r="C64" t="str">
            <v>Nadia</v>
          </cell>
          <cell r="D64" t="str">
            <v>Kuźniewska</v>
          </cell>
          <cell r="G64" t="str">
            <v>Marta</v>
          </cell>
          <cell r="H64" t="str">
            <v>Kuźniewska</v>
          </cell>
          <cell r="I64" t="str">
            <v>+48 695 215 173</v>
          </cell>
          <cell r="J64" t="str">
            <v>mkuzniewska@wp.pl</v>
          </cell>
          <cell r="O64" t="str">
            <v>Z-zorganizowana</v>
          </cell>
          <cell r="P64" t="str">
            <v>Język angielski</v>
          </cell>
          <cell r="Q64" t="str">
            <v>Maturalny</v>
          </cell>
          <cell r="S64" t="str">
            <v>2008-05-12</v>
          </cell>
          <cell r="T64" t="str">
            <v>Średnia - liceum</v>
          </cell>
          <cell r="U64">
            <v>4</v>
          </cell>
          <cell r="V64" t="str">
            <v>Tak (lub kolejny członek rodziny)</v>
          </cell>
          <cell r="Y64" t="str">
            <v>063/2025</v>
          </cell>
          <cell r="AA64">
            <v>5</v>
          </cell>
          <cell r="AB64" t="str">
            <v>wrzesień 2025</v>
          </cell>
          <cell r="AC64" t="str">
            <v>maj 2026 (koniec zajęć w roku szkolnym 2025/2026)</v>
          </cell>
          <cell r="AM64">
            <v>58</v>
          </cell>
        </row>
        <row r="65">
          <cell r="B65">
            <v>45877.826990740738</v>
          </cell>
          <cell r="C65" t="str">
            <v>Jakub</v>
          </cell>
          <cell r="D65" t="str">
            <v>Krawczyk</v>
          </cell>
          <cell r="G65" t="str">
            <v>Patrycja</v>
          </cell>
          <cell r="H65" t="str">
            <v>Krawczyk</v>
          </cell>
          <cell r="I65" t="str">
            <v>+48 509 961 968</v>
          </cell>
          <cell r="J65" t="str">
            <v>bodek80@onet.eu</v>
          </cell>
          <cell r="O65" t="str">
            <v>Z-zorganizowana</v>
          </cell>
          <cell r="P65" t="str">
            <v>Język polski</v>
          </cell>
          <cell r="Q65" t="str">
            <v>Ósmoklasisty</v>
          </cell>
          <cell r="S65" t="str">
            <v>2011-02-22</v>
          </cell>
          <cell r="T65" t="str">
            <v>Podstawowa</v>
          </cell>
          <cell r="U65">
            <v>8</v>
          </cell>
          <cell r="V65" t="str">
            <v>Nie</v>
          </cell>
          <cell r="Y65"/>
          <cell r="AA65">
            <v>15</v>
          </cell>
          <cell r="AB65" t="str">
            <v>wrzesień 2025</v>
          </cell>
          <cell r="AC65" t="str">
            <v>kwiecień 2026</v>
          </cell>
          <cell r="AM65">
            <v>64</v>
          </cell>
        </row>
        <row r="66">
          <cell r="B66">
            <v>45881.879374999997</v>
          </cell>
          <cell r="C66" t="str">
            <v>Michał</v>
          </cell>
          <cell r="D66" t="str">
            <v>Piotrowski</v>
          </cell>
          <cell r="G66" t="str">
            <v>Alina</v>
          </cell>
          <cell r="H66" t="str">
            <v>Piotrowska</v>
          </cell>
          <cell r="I66" t="str">
            <v>+48 602 264 037</v>
          </cell>
          <cell r="J66" t="str">
            <v>alina_piotrowska@tlen.pl</v>
          </cell>
          <cell r="O66" t="str">
            <v>Z-zorganizowana</v>
          </cell>
          <cell r="P66" t="str">
            <v>Język angielski</v>
          </cell>
          <cell r="Q66" t="str">
            <v>Ósmoklasisty</v>
          </cell>
          <cell r="S66" t="str">
            <v>2011-04-07</v>
          </cell>
          <cell r="T66" t="str">
            <v>Podstawowa</v>
          </cell>
          <cell r="U66">
            <v>8</v>
          </cell>
          <cell r="V66" t="str">
            <v>Tak (lub kolejny członek rodziny)</v>
          </cell>
          <cell r="Y66" t="str">
            <v>010/2025</v>
          </cell>
          <cell r="AA66">
            <v>15</v>
          </cell>
          <cell r="AB66" t="str">
            <v>wrzesień 2025</v>
          </cell>
          <cell r="AC66" t="str">
            <v>maj 2026 (koniec zajęć w roku szkolnym 2025/2026)</v>
          </cell>
          <cell r="AM66">
            <v>64</v>
          </cell>
        </row>
        <row r="67">
          <cell r="B67">
            <v>45881.897094907406</v>
          </cell>
          <cell r="C67" t="str">
            <v>Oliwia</v>
          </cell>
          <cell r="D67" t="str">
            <v>Piotrowska</v>
          </cell>
          <cell r="G67" t="str">
            <v>Alina</v>
          </cell>
          <cell r="H67" t="str">
            <v>Piotrowska</v>
          </cell>
          <cell r="I67" t="str">
            <v>+48 602 264 037</v>
          </cell>
          <cell r="J67" t="str">
            <v>alina_piotrowska@tlen.pl</v>
          </cell>
          <cell r="O67" t="str">
            <v>Z-zorganizowana</v>
          </cell>
          <cell r="P67" t="str">
            <v>Matematyka</v>
          </cell>
          <cell r="Q67" t="str">
            <v>Maturalny</v>
          </cell>
          <cell r="S67" t="str">
            <v>2008-04-08</v>
          </cell>
          <cell r="T67" t="str">
            <v>Średnia - liceum</v>
          </cell>
          <cell r="U67">
            <v>4</v>
          </cell>
          <cell r="V67" t="str">
            <v>Tak (lub kolejny członek rodziny)</v>
          </cell>
          <cell r="Y67" t="str">
            <v>56/2025</v>
          </cell>
          <cell r="AA67">
            <v>15</v>
          </cell>
          <cell r="AB67" t="str">
            <v>wrzesień 2025</v>
          </cell>
          <cell r="AC67" t="str">
            <v>maj 2026 (koniec zajęć w roku szkolnym 2025/2026)</v>
          </cell>
          <cell r="AM67">
            <v>58</v>
          </cell>
        </row>
        <row r="68">
          <cell r="B68">
            <v>45881.999664351853</v>
          </cell>
          <cell r="C68" t="str">
            <v>Julian</v>
          </cell>
          <cell r="D68" t="str">
            <v>Kasprowicz</v>
          </cell>
          <cell r="G68" t="str">
            <v>Dorota</v>
          </cell>
          <cell r="H68" t="str">
            <v>Umińska</v>
          </cell>
          <cell r="I68" t="str">
            <v>+48 507 848 921</v>
          </cell>
          <cell r="J68" t="str">
            <v>dorota.u.23@wp.pl</v>
          </cell>
          <cell r="O68" t="str">
            <v>Z-zorganizowana</v>
          </cell>
          <cell r="P68" t="str">
            <v>Język angielski</v>
          </cell>
          <cell r="S68" t="str">
            <v>2016-10-31</v>
          </cell>
          <cell r="T68" t="str">
            <v>Podstawowa</v>
          </cell>
          <cell r="U68">
            <v>3</v>
          </cell>
          <cell r="V68" t="str">
            <v>Tak (lub kolejny członek rodziny)</v>
          </cell>
          <cell r="Y68" t="str">
            <v>003/2025</v>
          </cell>
          <cell r="AA68">
            <v>25</v>
          </cell>
          <cell r="AB68" t="str">
            <v>wrzesień 2025</v>
          </cell>
          <cell r="AC68" t="str">
            <v>maj 2026 (koniec zajęć w roku szkolnym 2025/2026)</v>
          </cell>
          <cell r="AM68">
            <v>64</v>
          </cell>
        </row>
        <row r="69">
          <cell r="B69">
            <v>45882.720752314817</v>
          </cell>
          <cell r="C69" t="str">
            <v>Julia</v>
          </cell>
          <cell r="D69" t="str">
            <v>Markuszewska</v>
          </cell>
          <cell r="G69" t="str">
            <v>Aneta</v>
          </cell>
          <cell r="H69" t="str">
            <v>Markuszewska</v>
          </cell>
          <cell r="I69" t="str">
            <v>+48 530 850 399</v>
          </cell>
          <cell r="J69" t="str">
            <v>aneti.nml@wp.pl</v>
          </cell>
          <cell r="O69" t="str">
            <v>1-osobowa</v>
          </cell>
          <cell r="P69" t="str">
            <v>Język angielski</v>
          </cell>
          <cell r="S69" t="str">
            <v>2012-10-04</v>
          </cell>
          <cell r="T69" t="str">
            <v>Podstawowa</v>
          </cell>
          <cell r="U69">
            <v>7</v>
          </cell>
          <cell r="V69" t="str">
            <v>Tak (lub kolejny członek rodziny)</v>
          </cell>
          <cell r="Y69"/>
          <cell r="AA69">
            <v>15</v>
          </cell>
          <cell r="AB69" t="str">
            <v>wrzesień 2025</v>
          </cell>
          <cell r="AC69" t="str">
            <v>maj 2026 (koniec zajęć w roku szkolnym 2025/2026)</v>
          </cell>
          <cell r="AM69">
            <v>33</v>
          </cell>
        </row>
        <row r="70">
          <cell r="B70">
            <v>45882.798680555556</v>
          </cell>
          <cell r="C70" t="str">
            <v>Jan</v>
          </cell>
          <cell r="D70" t="str">
            <v>Galiński</v>
          </cell>
          <cell r="G70" t="str">
            <v>Dagmara</v>
          </cell>
          <cell r="H70" t="str">
            <v>Zawieracz</v>
          </cell>
          <cell r="I70" t="str">
            <v>+48 693 527 216</v>
          </cell>
          <cell r="J70" t="str">
            <v>dagmara.zaw@wp.pl</v>
          </cell>
          <cell r="O70" t="str">
            <v>Z-zorganizowana</v>
          </cell>
          <cell r="P70" t="str">
            <v>Język angielski</v>
          </cell>
          <cell r="S70" t="str">
            <v>2016-08-23</v>
          </cell>
          <cell r="T70" t="str">
            <v>Podstawowa</v>
          </cell>
          <cell r="U70">
            <v>3</v>
          </cell>
          <cell r="V70" t="str">
            <v>Tak (lub kolejny członek rodziny)</v>
          </cell>
          <cell r="Y70" t="str">
            <v>006/2025</v>
          </cell>
          <cell r="AA70">
            <v>15</v>
          </cell>
          <cell r="AB70" t="str">
            <v>wrzesień 2025</v>
          </cell>
          <cell r="AC70" t="str">
            <v>sierpień 2026</v>
          </cell>
          <cell r="AM70">
            <v>64</v>
          </cell>
        </row>
        <row r="71">
          <cell r="B71">
            <v>45883.599178240744</v>
          </cell>
          <cell r="C71" t="str">
            <v>Wiktoria</v>
          </cell>
          <cell r="D71" t="str">
            <v>Detyna</v>
          </cell>
          <cell r="G71" t="str">
            <v>Aneta</v>
          </cell>
          <cell r="H71" t="str">
            <v>Detyna</v>
          </cell>
          <cell r="I71" t="str">
            <v>+48 515 394 676</v>
          </cell>
          <cell r="J71" t="str">
            <v>detyn@wp.pl</v>
          </cell>
          <cell r="O71" t="str">
            <v>Z-zorganizowana</v>
          </cell>
          <cell r="P71" t="str">
            <v>Matematyka</v>
          </cell>
          <cell r="Q71" t="str">
            <v>Maturalny</v>
          </cell>
          <cell r="S71" t="str">
            <v>2006-05-07</v>
          </cell>
          <cell r="T71" t="str">
            <v>Średnia - technikum</v>
          </cell>
          <cell r="U71">
            <v>5</v>
          </cell>
          <cell r="V71" t="str">
            <v>Nie</v>
          </cell>
          <cell r="Y71"/>
          <cell r="AA71">
            <v>15</v>
          </cell>
          <cell r="AB71" t="str">
            <v>wrzesień 2025</v>
          </cell>
          <cell r="AC71" t="str">
            <v>maj 2026 (koniec zajęć w roku szkolnym 2025/2026)</v>
          </cell>
          <cell r="AM71">
            <v>58</v>
          </cell>
        </row>
        <row r="72">
          <cell r="B72">
            <v>45883.602789351855</v>
          </cell>
          <cell r="C72" t="str">
            <v>Wiktoria</v>
          </cell>
          <cell r="D72" t="str">
            <v>Detyna</v>
          </cell>
          <cell r="G72" t="str">
            <v>Aneta</v>
          </cell>
          <cell r="H72" t="str">
            <v>Detyna</v>
          </cell>
          <cell r="I72" t="str">
            <v>+48 515 394 676</v>
          </cell>
          <cell r="J72" t="str">
            <v>detyn@wp.pl</v>
          </cell>
          <cell r="O72" t="str">
            <v>Z-zorganizowana</v>
          </cell>
          <cell r="P72" t="str">
            <v>Język angielski</v>
          </cell>
          <cell r="Q72" t="str">
            <v>Maturalny</v>
          </cell>
          <cell r="S72" t="str">
            <v>2006-05-07</v>
          </cell>
          <cell r="T72" t="str">
            <v>Średnia - technikum</v>
          </cell>
          <cell r="U72">
            <v>5</v>
          </cell>
          <cell r="V72" t="str">
            <v>Nie</v>
          </cell>
          <cell r="Y72"/>
          <cell r="AA72">
            <v>15</v>
          </cell>
          <cell r="AB72" t="str">
            <v>wrzesień 2025</v>
          </cell>
          <cell r="AC72" t="str">
            <v>maj 2026 (koniec zajęć w roku szkolnym 2025/2026)</v>
          </cell>
          <cell r="AM72">
            <v>58</v>
          </cell>
        </row>
        <row r="73">
          <cell r="B73">
            <v>45883.605949074074</v>
          </cell>
          <cell r="C73" t="str">
            <v>Wiktoria</v>
          </cell>
          <cell r="D73" t="str">
            <v>Detyna</v>
          </cell>
          <cell r="G73" t="str">
            <v>Aneta</v>
          </cell>
          <cell r="H73" t="str">
            <v>Detyna</v>
          </cell>
          <cell r="I73" t="str">
            <v>+48 515 394 676</v>
          </cell>
          <cell r="J73" t="str">
            <v>detyn@wp.pl</v>
          </cell>
          <cell r="O73" t="str">
            <v>Z-zorganizowana</v>
          </cell>
          <cell r="P73" t="str">
            <v>Język polski</v>
          </cell>
          <cell r="Q73" t="str">
            <v>Maturalny</v>
          </cell>
          <cell r="S73" t="str">
            <v>2006-05-07</v>
          </cell>
          <cell r="T73" t="str">
            <v>Średnia - technikum</v>
          </cell>
          <cell r="U73">
            <v>5</v>
          </cell>
          <cell r="V73" t="str">
            <v>Nie</v>
          </cell>
          <cell r="Y73"/>
          <cell r="AA73">
            <v>15</v>
          </cell>
          <cell r="AB73" t="str">
            <v>wrzesień 2025</v>
          </cell>
          <cell r="AC73" t="str">
            <v>maj 2026 (koniec zajęć w roku szkolnym 2025/2026)</v>
          </cell>
          <cell r="AM73">
            <v>58</v>
          </cell>
        </row>
        <row r="74">
          <cell r="B74">
            <v>45883.707557870373</v>
          </cell>
          <cell r="C74" t="str">
            <v>Natalia</v>
          </cell>
          <cell r="D74" t="str">
            <v>Naworska</v>
          </cell>
          <cell r="G74" t="str">
            <v>Aneta</v>
          </cell>
          <cell r="H74" t="str">
            <v>Naworska</v>
          </cell>
          <cell r="I74" t="str">
            <v>+48 504 164 827</v>
          </cell>
          <cell r="J74" t="str">
            <v>aneta.naworska74@gmail.com</v>
          </cell>
          <cell r="O74" t="str">
            <v>Z-zorganizowana</v>
          </cell>
          <cell r="P74" t="str">
            <v>Matematyka</v>
          </cell>
          <cell r="S74" t="str">
            <v>2010-02-10</v>
          </cell>
          <cell r="T74" t="str">
            <v>Średnia - technikum</v>
          </cell>
          <cell r="U74">
            <v>2</v>
          </cell>
          <cell r="V74" t="str">
            <v>Tak (lub kolejny członek rodziny)</v>
          </cell>
          <cell r="Y74"/>
          <cell r="AA74">
            <v>25</v>
          </cell>
          <cell r="AB74" t="str">
            <v>wrzesień 2025</v>
          </cell>
          <cell r="AC74">
            <v>46174</v>
          </cell>
          <cell r="AM74">
            <v>64</v>
          </cell>
        </row>
        <row r="75">
          <cell r="B75">
            <v>45886.877835648149</v>
          </cell>
          <cell r="C75" t="str">
            <v>Zuzanna</v>
          </cell>
          <cell r="D75" t="str">
            <v>Maraszek</v>
          </cell>
          <cell r="G75" t="str">
            <v>Monika</v>
          </cell>
          <cell r="H75" t="str">
            <v>Maraszek</v>
          </cell>
          <cell r="I75" t="str">
            <v>48 882 730 136</v>
          </cell>
          <cell r="J75" t="str">
            <v>monika.maraszek@o2.pl</v>
          </cell>
          <cell r="O75" t="str">
            <v>Z-zorganizowana</v>
          </cell>
          <cell r="P75" t="str">
            <v>Język angielski</v>
          </cell>
          <cell r="Q75" t="str">
            <v>Maturalny</v>
          </cell>
          <cell r="V75" t="str">
            <v>Nie</v>
          </cell>
          <cell r="Y75"/>
          <cell r="AA75">
            <v>25</v>
          </cell>
          <cell r="AB75" t="str">
            <v>wrzesień 2025</v>
          </cell>
          <cell r="AC75" t="str">
            <v>kwiecień 2026</v>
          </cell>
          <cell r="AM75">
            <v>58</v>
          </cell>
        </row>
        <row r="76">
          <cell r="B76">
            <v>45887.349074074074</v>
          </cell>
          <cell r="C76" t="str">
            <v>Zuzanna</v>
          </cell>
          <cell r="D76" t="str">
            <v>Tarchanow</v>
          </cell>
          <cell r="G76" t="str">
            <v>Magdalena</v>
          </cell>
          <cell r="H76" t="str">
            <v>Tarchanow</v>
          </cell>
          <cell r="I76" t="str">
            <v>+48 721 374 650</v>
          </cell>
          <cell r="J76" t="str">
            <v>m.tarchanow@o2.pl</v>
          </cell>
          <cell r="O76" t="str">
            <v>1-osobowa</v>
          </cell>
          <cell r="P76" t="str">
            <v>Język angielski</v>
          </cell>
          <cell r="S76" t="str">
            <v>2010-09-17</v>
          </cell>
          <cell r="T76" t="str">
            <v>Średnia - liceum</v>
          </cell>
          <cell r="U76">
            <v>1</v>
          </cell>
          <cell r="V76" t="str">
            <v>Tak (lub kolejny członek rodziny)</v>
          </cell>
          <cell r="Y76"/>
          <cell r="AA76">
            <v>15</v>
          </cell>
          <cell r="AB76" t="str">
            <v>wrzesień 2025</v>
          </cell>
          <cell r="AC76" t="str">
            <v>sierpień 2026</v>
          </cell>
          <cell r="AM76">
            <v>33</v>
          </cell>
        </row>
        <row r="77">
          <cell r="B77">
            <v>45887.374513888892</v>
          </cell>
          <cell r="C77" t="str">
            <v>Kacper</v>
          </cell>
          <cell r="D77" t="str">
            <v>Hetnar-Wójcicki</v>
          </cell>
          <cell r="G77" t="str">
            <v>Alina</v>
          </cell>
          <cell r="H77" t="str">
            <v>Hetnar-Wójcicka</v>
          </cell>
          <cell r="I77" t="str">
            <v>+48 669 231 289</v>
          </cell>
          <cell r="J77" t="str">
            <v>hetnarka@tlen.pl</v>
          </cell>
          <cell r="O77" t="str">
            <v>Z-zorganizowana</v>
          </cell>
          <cell r="P77" t="str">
            <v>Język angielski</v>
          </cell>
          <cell r="S77" t="str">
            <v>2014-04-04</v>
          </cell>
          <cell r="T77" t="str">
            <v>Podstawowa</v>
          </cell>
          <cell r="U77">
            <v>5</v>
          </cell>
          <cell r="V77" t="str">
            <v>Tak (lub kolejny członek rodziny)</v>
          </cell>
          <cell r="Y77"/>
          <cell r="AA77">
            <v>5</v>
          </cell>
          <cell r="AB77" t="str">
            <v>wrzesień 2025</v>
          </cell>
          <cell r="AC77" t="str">
            <v>maj 2026 (koniec zajęć w roku szkolnym 2025/2026)</v>
          </cell>
          <cell r="AM77">
            <v>64</v>
          </cell>
        </row>
        <row r="78">
          <cell r="B78">
            <v>45887.549189814818</v>
          </cell>
          <cell r="C78" t="str">
            <v>Zuzanna</v>
          </cell>
          <cell r="D78" t="str">
            <v>Ostrowska</v>
          </cell>
          <cell r="G78" t="str">
            <v>Ewa</v>
          </cell>
          <cell r="H78" t="str">
            <v>Ostrowska</v>
          </cell>
          <cell r="I78" t="str">
            <v>+48 600 968 617</v>
          </cell>
          <cell r="J78" t="str">
            <v>ewa.ostrowska@opoczta.pl</v>
          </cell>
          <cell r="O78" t="str">
            <v>1-osobowa</v>
          </cell>
          <cell r="P78" t="str">
            <v>Język angielski</v>
          </cell>
          <cell r="S78" t="str">
            <v>2008-08-26</v>
          </cell>
          <cell r="T78" t="str">
            <v>Średnia - liceum</v>
          </cell>
          <cell r="U78">
            <v>3</v>
          </cell>
          <cell r="V78" t="str">
            <v>Tak (lub kolejny członek rodziny)</v>
          </cell>
          <cell r="Y78" t="str">
            <v>050</v>
          </cell>
          <cell r="AA78">
            <v>15</v>
          </cell>
          <cell r="AB78" t="str">
            <v>wrzesień 2025</v>
          </cell>
          <cell r="AC78" t="str">
            <v>maj 2026 (koniec zajęć w roku szkolnym 2025/2026)</v>
          </cell>
          <cell r="AM78">
            <v>33</v>
          </cell>
        </row>
        <row r="79">
          <cell r="B79">
            <v>45887.552893518521</v>
          </cell>
          <cell r="C79" t="str">
            <v>Hubert</v>
          </cell>
          <cell r="D79" t="str">
            <v>Ostrowski</v>
          </cell>
          <cell r="G79" t="str">
            <v>Ewa</v>
          </cell>
          <cell r="H79" t="str">
            <v>Ostrowska</v>
          </cell>
          <cell r="I79" t="str">
            <v>+48 600 968 617</v>
          </cell>
          <cell r="J79" t="str">
            <v>ewa.ostrowska@opoczta.pl</v>
          </cell>
          <cell r="O79" t="str">
            <v>1-osobowa</v>
          </cell>
          <cell r="P79" t="str">
            <v>Język angielski</v>
          </cell>
          <cell r="S79" t="str">
            <v>2014-03-23</v>
          </cell>
          <cell r="T79" t="str">
            <v>Podstawowa</v>
          </cell>
          <cell r="U79">
            <v>5</v>
          </cell>
          <cell r="V79" t="str">
            <v>Tak (lub kolejny członek rodziny)</v>
          </cell>
          <cell r="Y79"/>
          <cell r="AA79">
            <v>15</v>
          </cell>
          <cell r="AB79" t="str">
            <v>wrzesień 2025</v>
          </cell>
          <cell r="AC79" t="str">
            <v>maj 2026 (koniec zajęć w roku szkolnym 2025/2026)</v>
          </cell>
          <cell r="AM79">
            <v>33</v>
          </cell>
        </row>
        <row r="80">
          <cell r="B80">
            <v>45888.574525462966</v>
          </cell>
          <cell r="C80" t="str">
            <v>Amelia</v>
          </cell>
          <cell r="D80" t="str">
            <v>Tyc</v>
          </cell>
          <cell r="G80" t="str">
            <v>Tomasz</v>
          </cell>
          <cell r="H80" t="str">
            <v>Tyc</v>
          </cell>
          <cell r="I80" t="str">
            <v>+48 607 190 409</v>
          </cell>
          <cell r="J80" t="str">
            <v>tomikami@op.pl</v>
          </cell>
          <cell r="O80" t="str">
            <v>Z-zorganizowana</v>
          </cell>
          <cell r="P80" t="str">
            <v>Język angielski</v>
          </cell>
          <cell r="Q80" t="str">
            <v>Maturalny</v>
          </cell>
          <cell r="S80" t="str">
            <v>1999-08-05</v>
          </cell>
          <cell r="T80" t="str">
            <v>Średnia - liceum</v>
          </cell>
          <cell r="U80">
            <v>3</v>
          </cell>
          <cell r="V80" t="str">
            <v>Tak (lub kolejny członek rodziny)</v>
          </cell>
          <cell r="Y80" t="str">
            <v>052/2025</v>
          </cell>
          <cell r="AA80">
            <v>5</v>
          </cell>
          <cell r="AB80" t="str">
            <v>wrzesień 2025</v>
          </cell>
          <cell r="AC80" t="str">
            <v>czerwiec 2026</v>
          </cell>
          <cell r="AM80">
            <v>64</v>
          </cell>
        </row>
        <row r="81">
          <cell r="B81">
            <v>45889.610706018517</v>
          </cell>
          <cell r="C81" t="str">
            <v>Marcelina</v>
          </cell>
          <cell r="D81" t="str">
            <v>Bojanowska</v>
          </cell>
          <cell r="G81" t="str">
            <v>Aneta</v>
          </cell>
          <cell r="H81" t="str">
            <v>Bojanowska</v>
          </cell>
          <cell r="I81" t="str">
            <v>+48 506 136 797</v>
          </cell>
          <cell r="J81" t="str">
            <v>anetahohorowska@wp.pl</v>
          </cell>
          <cell r="O81" t="str">
            <v>Z-zorganizowana</v>
          </cell>
          <cell r="P81" t="str">
            <v>Język angielski</v>
          </cell>
          <cell r="Q81" t="str">
            <v>Ósmoklasisty</v>
          </cell>
          <cell r="S81" t="str">
            <v>2011-01-27</v>
          </cell>
          <cell r="T81" t="str">
            <v>Podstawowa</v>
          </cell>
          <cell r="U81">
            <v>8</v>
          </cell>
          <cell r="V81" t="str">
            <v>Tak (lub kolejny członek rodziny)</v>
          </cell>
          <cell r="Y81" t="str">
            <v>076/2025</v>
          </cell>
          <cell r="AA81">
            <v>15</v>
          </cell>
          <cell r="AB81" t="str">
            <v>wrzesień 2025</v>
          </cell>
          <cell r="AC81" t="str">
            <v>maj 2026 (koniec zajęć w roku szkolnym 2025/2026)</v>
          </cell>
          <cell r="AM81">
            <v>64</v>
          </cell>
        </row>
        <row r="82">
          <cell r="B82">
            <v>45889.760706018518</v>
          </cell>
          <cell r="C82" t="str">
            <v>Renata</v>
          </cell>
          <cell r="D82" t="str">
            <v>Kowalska</v>
          </cell>
          <cell r="G82" t="str">
            <v>Renata</v>
          </cell>
          <cell r="H82" t="str">
            <v>Kowalska</v>
          </cell>
          <cell r="I82" t="str">
            <v>+48 605 046 467</v>
          </cell>
          <cell r="J82" t="str">
            <v>kowalskarenata16@gmail.com</v>
          </cell>
          <cell r="O82" t="str">
            <v>Z-zorganizowana</v>
          </cell>
          <cell r="P82" t="str">
            <v>Język niemiecki</v>
          </cell>
          <cell r="V82" t="str">
            <v>Nie</v>
          </cell>
          <cell r="Y82"/>
          <cell r="AA82">
            <v>15</v>
          </cell>
          <cell r="AB82" t="str">
            <v>wrzesień 2025</v>
          </cell>
          <cell r="AC82" t="str">
            <v>maj 2026 (koniec zajęć w roku szkolnym 2025/2026)</v>
          </cell>
          <cell r="AM82">
            <v>64</v>
          </cell>
        </row>
        <row r="83">
          <cell r="B83">
            <v>45889.7658912037</v>
          </cell>
          <cell r="C83" t="str">
            <v>Samanta</v>
          </cell>
          <cell r="D83" t="str">
            <v>Szpakowska</v>
          </cell>
          <cell r="G83" t="str">
            <v>Samanta</v>
          </cell>
          <cell r="H83" t="str">
            <v>Szpakowska</v>
          </cell>
          <cell r="I83" t="str">
            <v>+48 502 716 945</v>
          </cell>
          <cell r="J83" t="str">
            <v>samanciaq@gmail.com</v>
          </cell>
          <cell r="O83" t="str">
            <v>Z-zorganizowana</v>
          </cell>
          <cell r="P83" t="str">
            <v>Język angielski</v>
          </cell>
          <cell r="V83" t="str">
            <v>Tak (lub kolejny członek rodziny)</v>
          </cell>
          <cell r="Y83"/>
          <cell r="AA83">
            <v>5</v>
          </cell>
          <cell r="AB83" t="str">
            <v>październik 2025</v>
          </cell>
          <cell r="AC83">
            <v>46143</v>
          </cell>
          <cell r="AM83">
            <v>64</v>
          </cell>
        </row>
        <row r="84">
          <cell r="B84">
            <v>45890.311944444446</v>
          </cell>
          <cell r="C84" t="str">
            <v>Tobiasz</v>
          </cell>
          <cell r="D84" t="str">
            <v>Wiśniewski</v>
          </cell>
          <cell r="G84" t="str">
            <v>Alicja</v>
          </cell>
          <cell r="H84" t="str">
            <v>Wiśniewska</v>
          </cell>
          <cell r="I84" t="str">
            <v>+48 722 081 288</v>
          </cell>
          <cell r="J84" t="str">
            <v>wisniewska.alicjaaa@gmail.com</v>
          </cell>
          <cell r="O84" t="str">
            <v>1-osobowa</v>
          </cell>
          <cell r="P84" t="str">
            <v>Matematyka</v>
          </cell>
          <cell r="Q84" t="str">
            <v>Ósmoklasisty</v>
          </cell>
          <cell r="S84" t="str">
            <v>2012-10-24</v>
          </cell>
          <cell r="T84" t="str">
            <v>Podstawowa</v>
          </cell>
          <cell r="U84">
            <v>7</v>
          </cell>
          <cell r="V84" t="str">
            <v>Nie</v>
          </cell>
          <cell r="Y84"/>
          <cell r="AA84">
            <v>15</v>
          </cell>
          <cell r="AB84" t="str">
            <v>wrzesień 2025</v>
          </cell>
          <cell r="AC84" t="str">
            <v>maj 2026 (koniec zajęć w roku szkolnym 2025/2026)</v>
          </cell>
          <cell r="AM84">
            <v>33</v>
          </cell>
        </row>
        <row r="85">
          <cell r="B85">
            <v>45890.433564814812</v>
          </cell>
          <cell r="C85" t="str">
            <v>Klaudia</v>
          </cell>
          <cell r="D85" t="str">
            <v>Adamska</v>
          </cell>
          <cell r="G85" t="str">
            <v>Klaudia</v>
          </cell>
          <cell r="H85" t="str">
            <v>Adamska</v>
          </cell>
          <cell r="I85" t="str">
            <v>+48 781 545 894</v>
          </cell>
          <cell r="J85" t="str">
            <v>adamska.klaudia89@gmail.com</v>
          </cell>
          <cell r="O85" t="str">
            <v>1-osobowa</v>
          </cell>
          <cell r="P85" t="str">
            <v>Język angielski</v>
          </cell>
          <cell r="V85" t="str">
            <v>Nie</v>
          </cell>
          <cell r="Y85"/>
          <cell r="AA85">
            <v>5</v>
          </cell>
          <cell r="AB85" t="str">
            <v>wrzesień 2025</v>
          </cell>
          <cell r="AC85" t="str">
            <v>sierpień 2026</v>
          </cell>
          <cell r="AM85">
            <v>64</v>
          </cell>
        </row>
        <row r="86">
          <cell r="B86">
            <v>45890.484652777777</v>
          </cell>
          <cell r="C86" t="str">
            <v>Miłosz</v>
          </cell>
          <cell r="D86" t="str">
            <v>Puchalski</v>
          </cell>
          <cell r="I86" t="str">
            <v>+48 505 047 197</v>
          </cell>
          <cell r="J86" t="str">
            <v>superdekoratornia@wp.pl</v>
          </cell>
          <cell r="O86" t="str">
            <v>1-osobowa</v>
          </cell>
          <cell r="P86" t="str">
            <v>Język angielski</v>
          </cell>
          <cell r="Q86" t="str">
            <v>Maturalny</v>
          </cell>
          <cell r="V86" t="str">
            <v>Nie</v>
          </cell>
          <cell r="Y86"/>
          <cell r="AA86">
            <v>5</v>
          </cell>
          <cell r="AB86" t="str">
            <v>październik 2025</v>
          </cell>
          <cell r="AC86" t="str">
            <v>kwiecień 2026</v>
          </cell>
          <cell r="AM86">
            <v>58</v>
          </cell>
        </row>
        <row r="87">
          <cell r="B87">
            <v>45890.937650462962</v>
          </cell>
          <cell r="C87" t="str">
            <v>Michał</v>
          </cell>
          <cell r="D87" t="str">
            <v>Kubacki</v>
          </cell>
          <cell r="G87" t="str">
            <v>EMILIA</v>
          </cell>
          <cell r="H87" t="str">
            <v>Kubacka</v>
          </cell>
          <cell r="I87" t="str">
            <v>+48 515 085 600</v>
          </cell>
          <cell r="J87" t="str">
            <v>cmb.emiliakubacka@gmail.com</v>
          </cell>
          <cell r="O87" t="str">
            <v>1-osobowa</v>
          </cell>
          <cell r="P87" t="str">
            <v>Język angielski</v>
          </cell>
          <cell r="S87" t="str">
            <v>2014-05-06</v>
          </cell>
          <cell r="T87" t="str">
            <v>Podstawowa</v>
          </cell>
          <cell r="U87">
            <v>5</v>
          </cell>
          <cell r="V87" t="str">
            <v>Nie</v>
          </cell>
          <cell r="Y87"/>
          <cell r="AA87">
            <v>15</v>
          </cell>
          <cell r="AB87" t="str">
            <v>wrzesień 2025</v>
          </cell>
          <cell r="AC87" t="str">
            <v>maj 2026 (koniec zajęć w roku szkolnym 2025/2026)</v>
          </cell>
          <cell r="AM87">
            <v>33</v>
          </cell>
        </row>
        <row r="88">
          <cell r="B88">
            <v>45893.778425925928</v>
          </cell>
          <cell r="C88" t="str">
            <v>Zuzanna</v>
          </cell>
          <cell r="D88" t="str">
            <v>Łukomska</v>
          </cell>
          <cell r="G88" t="str">
            <v>Monika</v>
          </cell>
          <cell r="H88" t="str">
            <v>Łukomska</v>
          </cell>
          <cell r="I88" t="str">
            <v>+48 667 230 743</v>
          </cell>
          <cell r="J88" t="str">
            <v>monikalukasz1985@wp.pl</v>
          </cell>
          <cell r="O88" t="str">
            <v>Z-zorganizowana</v>
          </cell>
          <cell r="P88" t="str">
            <v>Język angielski</v>
          </cell>
          <cell r="Q88" t="str">
            <v>Maturalny</v>
          </cell>
          <cell r="S88" t="str">
            <v>2008-05-30</v>
          </cell>
          <cell r="T88" t="str">
            <v>Średnia - liceum</v>
          </cell>
          <cell r="U88">
            <v>4</v>
          </cell>
          <cell r="V88" t="str">
            <v>Tak (lub kolejny członek rodziny)</v>
          </cell>
          <cell r="Y88" t="str">
            <v>051/2025</v>
          </cell>
          <cell r="AA88">
            <v>25</v>
          </cell>
          <cell r="AB88" t="str">
            <v>wrzesień 2025</v>
          </cell>
          <cell r="AC88" t="str">
            <v>maj 2026 (koniec zajęć w roku szkolnym 2025/2026)</v>
          </cell>
          <cell r="AM88">
            <v>58</v>
          </cell>
        </row>
        <row r="89">
          <cell r="B89">
            <v>45894.867534722223</v>
          </cell>
          <cell r="C89" t="str">
            <v>Agata</v>
          </cell>
          <cell r="D89" t="str">
            <v>Błażejewska</v>
          </cell>
          <cell r="G89" t="str">
            <v>Anna</v>
          </cell>
          <cell r="H89" t="str">
            <v>Błażejewska</v>
          </cell>
          <cell r="I89" t="str">
            <v>+48 660 512 716</v>
          </cell>
          <cell r="J89" t="str">
            <v>anitka1407@wp.pl</v>
          </cell>
          <cell r="O89" t="str">
            <v>Z-zorganizowana</v>
          </cell>
          <cell r="P89" t="str">
            <v>Język angielski</v>
          </cell>
          <cell r="S89" t="str">
            <v>2014-06-14</v>
          </cell>
          <cell r="T89" t="str">
            <v>Podstawowa</v>
          </cell>
          <cell r="U89">
            <v>5</v>
          </cell>
          <cell r="V89" t="str">
            <v>Nie</v>
          </cell>
          <cell r="AA89">
            <v>5</v>
          </cell>
          <cell r="AB89" t="str">
            <v>wrzesień 2025</v>
          </cell>
          <cell r="AC89" t="str">
            <v>maj 2026 (koniec zajęć w roku szkolnym 2025/2026)</v>
          </cell>
          <cell r="AM89">
            <v>64</v>
          </cell>
        </row>
        <row r="90">
          <cell r="B90">
            <v>45896.68409722222</v>
          </cell>
          <cell r="C90" t="str">
            <v>Witold</v>
          </cell>
          <cell r="D90" t="str">
            <v>Rose</v>
          </cell>
          <cell r="G90" t="str">
            <v>Witold</v>
          </cell>
          <cell r="H90" t="str">
            <v>Rose</v>
          </cell>
          <cell r="I90">
            <v>48602611819</v>
          </cell>
          <cell r="J90" t="str">
            <v>witek.rose@gmail.com</v>
          </cell>
          <cell r="O90" t="str">
            <v>3-osobowa</v>
          </cell>
          <cell r="P90" t="str">
            <v>Język angielski</v>
          </cell>
          <cell r="V90" t="str">
            <v>Nie</v>
          </cell>
          <cell r="AA90">
            <v>5</v>
          </cell>
          <cell r="AB90">
            <v>45901</v>
          </cell>
          <cell r="AC90" t="str">
            <v>maj 2026 (koniec zajęć w roku szkolnym 2025/2026)</v>
          </cell>
          <cell r="AM90">
            <v>33</v>
          </cell>
        </row>
        <row r="91">
          <cell r="B91">
            <v>45897.532453703701</v>
          </cell>
          <cell r="C91" t="str">
            <v>Filip</v>
          </cell>
          <cell r="D91" t="str">
            <v>Surmacz</v>
          </cell>
          <cell r="G91" t="str">
            <v>Marzena</v>
          </cell>
          <cell r="H91" t="str">
            <v>Surmacz</v>
          </cell>
          <cell r="I91">
            <v>48666721752</v>
          </cell>
          <cell r="J91" t="str">
            <v>surmaczm85.ms@gmail.com</v>
          </cell>
          <cell r="O91" t="str">
            <v>Z-zorganizowana</v>
          </cell>
          <cell r="P91" t="str">
            <v>Język angielski</v>
          </cell>
          <cell r="Q91" t="str">
            <v>Maturalny</v>
          </cell>
          <cell r="S91">
            <v>39941</v>
          </cell>
          <cell r="T91" t="str">
            <v>Średnia - liceum</v>
          </cell>
          <cell r="U91">
            <v>3</v>
          </cell>
          <cell r="V91" t="str">
            <v>Tak (lub kolejny członek rodziny)</v>
          </cell>
          <cell r="AA91">
            <v>5</v>
          </cell>
          <cell r="AB91">
            <v>45901</v>
          </cell>
          <cell r="AC91" t="str">
            <v>maj 2026 (koniec zajęć w roku szkolnym 2025/2026)</v>
          </cell>
          <cell r="AM91">
            <v>64</v>
          </cell>
        </row>
        <row r="92">
          <cell r="B92">
            <v>45897.534641203703</v>
          </cell>
          <cell r="C92" t="str">
            <v>Oliwia</v>
          </cell>
          <cell r="D92" t="str">
            <v>Surmacz</v>
          </cell>
          <cell r="G92" t="str">
            <v>Marzena</v>
          </cell>
          <cell r="H92" t="str">
            <v>Surmacz</v>
          </cell>
          <cell r="I92">
            <v>48666721752</v>
          </cell>
          <cell r="J92" t="str">
            <v>surmaczm85.ms@gmail.com</v>
          </cell>
          <cell r="O92" t="str">
            <v>Z-zorganizowana</v>
          </cell>
          <cell r="P92" t="str">
            <v>Język angielski</v>
          </cell>
          <cell r="S92">
            <v>40355</v>
          </cell>
          <cell r="T92" t="str">
            <v>Średnia - liceum</v>
          </cell>
          <cell r="U92">
            <v>2</v>
          </cell>
          <cell r="V92" t="str">
            <v>Tak (lub kolejny członek rodziny)</v>
          </cell>
          <cell r="AA92">
            <v>5</v>
          </cell>
          <cell r="AB92">
            <v>45901</v>
          </cell>
          <cell r="AC92" t="str">
            <v>maj 2026 (koniec zajęć w roku szkolnym 2025/2026)</v>
          </cell>
          <cell r="AM92">
            <v>64</v>
          </cell>
        </row>
        <row r="93">
          <cell r="B93">
            <v>45897.557928240742</v>
          </cell>
          <cell r="C93" t="str">
            <v>Kacper</v>
          </cell>
          <cell r="D93" t="str">
            <v>Napierski</v>
          </cell>
          <cell r="G93" t="str">
            <v>Natalia</v>
          </cell>
          <cell r="H93" t="str">
            <v>Zawieracz</v>
          </cell>
          <cell r="I93">
            <v>48696433626</v>
          </cell>
          <cell r="J93" t="str">
            <v>zawieraczn@op.pl</v>
          </cell>
          <cell r="O93" t="str">
            <v>Z-zorganizowana</v>
          </cell>
          <cell r="P93" t="str">
            <v>Język angielski</v>
          </cell>
          <cell r="Q93" t="str">
            <v>Ósmoklasisty</v>
          </cell>
          <cell r="S93">
            <v>40830</v>
          </cell>
          <cell r="T93" t="str">
            <v>Podstawowa</v>
          </cell>
          <cell r="U93">
            <v>8</v>
          </cell>
          <cell r="V93" t="str">
            <v>Tak (lub kolejny członek rodziny)</v>
          </cell>
          <cell r="AA93">
            <v>5</v>
          </cell>
          <cell r="AB93">
            <v>45901</v>
          </cell>
          <cell r="AC93">
            <v>46174</v>
          </cell>
          <cell r="AM93">
            <v>64</v>
          </cell>
        </row>
        <row r="94">
          <cell r="B94">
            <v>45897.632337962961</v>
          </cell>
          <cell r="C94" t="str">
            <v>Patrycja</v>
          </cell>
          <cell r="D94" t="str">
            <v>Paturalska</v>
          </cell>
          <cell r="G94" t="str">
            <v>Ilona</v>
          </cell>
          <cell r="H94" t="str">
            <v>Paturalska</v>
          </cell>
          <cell r="I94">
            <v>48508978188</v>
          </cell>
          <cell r="J94" t="str">
            <v>ilonau1@wp.pl</v>
          </cell>
          <cell r="O94" t="str">
            <v>Z-zorganizowana</v>
          </cell>
          <cell r="P94" t="str">
            <v>Język angielski</v>
          </cell>
          <cell r="S94">
            <v>41933</v>
          </cell>
          <cell r="T94" t="str">
            <v>Podstawowa</v>
          </cell>
          <cell r="U94">
            <v>5</v>
          </cell>
          <cell r="V94" t="str">
            <v>Nie</v>
          </cell>
          <cell r="AA94">
            <v>15</v>
          </cell>
          <cell r="AB94">
            <v>45901</v>
          </cell>
          <cell r="AC94" t="str">
            <v>maj 2026 (koniec zajęć w roku szkolnym 2025/2026)</v>
          </cell>
          <cell r="AM94">
            <v>64</v>
          </cell>
        </row>
        <row r="95">
          <cell r="B95">
            <v>45897.727534722224</v>
          </cell>
          <cell r="C95" t="str">
            <v>Jędrzej</v>
          </cell>
          <cell r="D95" t="str">
            <v>Jurkiewicz</v>
          </cell>
          <cell r="G95" t="str">
            <v>Justyna</v>
          </cell>
          <cell r="H95" t="str">
            <v>Jurkiewicz</v>
          </cell>
          <cell r="I95">
            <v>48785821009</v>
          </cell>
          <cell r="J95" t="str">
            <v>justyna.fikier@poczta.onet.pl</v>
          </cell>
          <cell r="O95" t="str">
            <v>Z-zorganizowana</v>
          </cell>
          <cell r="P95" t="str">
            <v>Język angielski</v>
          </cell>
          <cell r="S95">
            <v>40396</v>
          </cell>
          <cell r="T95" t="str">
            <v>Średnia - liceum</v>
          </cell>
          <cell r="U95">
            <v>2</v>
          </cell>
          <cell r="V95" t="str">
            <v>Tak (lub kolejny członek rodziny)</v>
          </cell>
          <cell r="Y95" t="str">
            <v>070/2025</v>
          </cell>
          <cell r="AA95">
            <v>15</v>
          </cell>
          <cell r="AB95">
            <v>45901</v>
          </cell>
          <cell r="AC95">
            <v>45901</v>
          </cell>
          <cell r="AM95">
            <v>64</v>
          </cell>
        </row>
        <row r="96">
          <cell r="B96">
            <v>45897.801122685189</v>
          </cell>
          <cell r="C96" t="str">
            <v>Alan</v>
          </cell>
          <cell r="D96" t="str">
            <v>Wróbel</v>
          </cell>
          <cell r="G96" t="str">
            <v>Małgorzata</v>
          </cell>
          <cell r="H96" t="str">
            <v>Wróbel</v>
          </cell>
          <cell r="I96">
            <v>48607120051</v>
          </cell>
          <cell r="J96" t="str">
            <v>mgw80@op.pl</v>
          </cell>
          <cell r="O96" t="str">
            <v>3-osobowa</v>
          </cell>
          <cell r="P96" t="str">
            <v>Język angielski</v>
          </cell>
          <cell r="S96">
            <v>41619</v>
          </cell>
          <cell r="T96" t="str">
            <v>Podstawowa</v>
          </cell>
          <cell r="U96">
            <v>6</v>
          </cell>
          <cell r="V96" t="str">
            <v>Tak (lub kolejny członek rodziny)</v>
          </cell>
          <cell r="AA96">
            <v>15</v>
          </cell>
          <cell r="AB96">
            <v>45901</v>
          </cell>
          <cell r="AC96">
            <v>46235</v>
          </cell>
          <cell r="AM96">
            <v>64</v>
          </cell>
        </row>
        <row r="97">
          <cell r="B97">
            <v>45897.865740740737</v>
          </cell>
          <cell r="C97" t="str">
            <v>Patryk</v>
          </cell>
          <cell r="D97" t="str">
            <v>Nowak</v>
          </cell>
          <cell r="G97" t="str">
            <v>Magdalena</v>
          </cell>
          <cell r="H97" t="str">
            <v>Nowak</v>
          </cell>
          <cell r="I97">
            <v>48724590466</v>
          </cell>
          <cell r="J97" t="str">
            <v>nowak.magdzia82@gmail.com</v>
          </cell>
          <cell r="O97" t="str">
            <v>Z-zorganizowana</v>
          </cell>
          <cell r="P97" t="str">
            <v>Język angielski</v>
          </cell>
          <cell r="S97">
            <v>40363</v>
          </cell>
          <cell r="T97" t="str">
            <v>Średnia - liceum</v>
          </cell>
          <cell r="U97">
            <v>1</v>
          </cell>
          <cell r="V97" t="str">
            <v>Nie</v>
          </cell>
          <cell r="AA97">
            <v>5</v>
          </cell>
          <cell r="AB97">
            <v>45901</v>
          </cell>
          <cell r="AC97" t="str">
            <v>maj 2026 (koniec zajęć w roku szkolnym 2025/2026)</v>
          </cell>
          <cell r="AM97">
            <v>64</v>
          </cell>
        </row>
        <row r="98">
          <cell r="B98">
            <v>45897.868784722225</v>
          </cell>
          <cell r="C98" t="str">
            <v>Amelia</v>
          </cell>
          <cell r="D98" t="str">
            <v>Nowak</v>
          </cell>
          <cell r="G98" t="str">
            <v>Magdalena</v>
          </cell>
          <cell r="H98" t="str">
            <v>Nowak</v>
          </cell>
          <cell r="I98">
            <v>48724590466</v>
          </cell>
          <cell r="J98" t="str">
            <v>nowak.magdzia82@gmail.com</v>
          </cell>
          <cell r="O98" t="str">
            <v>Z-zorganizowana</v>
          </cell>
          <cell r="P98" t="str">
            <v>Język angielski</v>
          </cell>
          <cell r="S98">
            <v>40977</v>
          </cell>
          <cell r="T98" t="str">
            <v>Podstawowa</v>
          </cell>
          <cell r="U98">
            <v>7</v>
          </cell>
          <cell r="V98" t="str">
            <v>Nie</v>
          </cell>
          <cell r="AA98">
            <v>5</v>
          </cell>
          <cell r="AB98">
            <v>45901</v>
          </cell>
          <cell r="AC98" t="str">
            <v>maj 2026 (koniec zajęć w roku szkolnym 2025/2026)</v>
          </cell>
          <cell r="AM98">
            <v>64</v>
          </cell>
        </row>
        <row r="99">
          <cell r="B99">
            <v>45897.881076388891</v>
          </cell>
          <cell r="C99" t="str">
            <v>Amelia</v>
          </cell>
          <cell r="D99" t="str">
            <v>Nowak</v>
          </cell>
          <cell r="G99" t="str">
            <v>Łukasz</v>
          </cell>
          <cell r="H99" t="str">
            <v>Nowak</v>
          </cell>
          <cell r="I99">
            <v>48695186363</v>
          </cell>
          <cell r="J99" t="str">
            <v>lukaszyk.nowak@gmail.com</v>
          </cell>
          <cell r="O99" t="str">
            <v>Z-zorganizowana</v>
          </cell>
          <cell r="P99" t="str">
            <v>Język angielski</v>
          </cell>
          <cell r="S99">
            <v>40977</v>
          </cell>
          <cell r="T99" t="str">
            <v>Podstawowa</v>
          </cell>
          <cell r="U99">
            <v>7</v>
          </cell>
          <cell r="V99" t="str">
            <v>Nie</v>
          </cell>
          <cell r="AA99">
            <v>5</v>
          </cell>
          <cell r="AB99">
            <v>45901</v>
          </cell>
          <cell r="AC99" t="str">
            <v>maj 2026 (koniec zajęć w roku szkolnym 2025/2026)</v>
          </cell>
          <cell r="AM99">
            <v>64</v>
          </cell>
        </row>
        <row r="100">
          <cell r="B100">
            <v>45897.883136574077</v>
          </cell>
          <cell r="C100" t="str">
            <v>Adam</v>
          </cell>
          <cell r="D100" t="str">
            <v>Seroczyński</v>
          </cell>
          <cell r="G100" t="str">
            <v>Adam</v>
          </cell>
          <cell r="H100" t="str">
            <v>Seroczyński</v>
          </cell>
          <cell r="I100">
            <v>48698462163</v>
          </cell>
          <cell r="J100" t="str">
            <v>adam.seroczynski@inter.ikea.com</v>
          </cell>
          <cell r="O100" t="str">
            <v>1-osobowa</v>
          </cell>
          <cell r="P100" t="str">
            <v>Język angielski</v>
          </cell>
          <cell r="Q100"/>
          <cell r="T100"/>
          <cell r="U100"/>
          <cell r="V100" t="str">
            <v>Nie</v>
          </cell>
          <cell r="Y100"/>
          <cell r="AA100">
            <v>5</v>
          </cell>
          <cell r="AB100">
            <v>45931</v>
          </cell>
          <cell r="AC100" t="str">
            <v>maj 2026 (koniec zajęć w roku szkolnym 2025/2026)</v>
          </cell>
          <cell r="AM100">
            <v>30</v>
          </cell>
        </row>
        <row r="101">
          <cell r="B101">
            <v>45897.905231481483</v>
          </cell>
          <cell r="C101" t="str">
            <v>Adam</v>
          </cell>
          <cell r="D101" t="str">
            <v>Miszewski</v>
          </cell>
          <cell r="G101" t="str">
            <v>Aneta</v>
          </cell>
          <cell r="H101" t="str">
            <v>Miszewska</v>
          </cell>
          <cell r="I101">
            <v>48665933221</v>
          </cell>
          <cell r="J101" t="str">
            <v>krzysztof-miszewski1@wp.pl</v>
          </cell>
          <cell r="O101" t="str">
            <v>3-osobowa</v>
          </cell>
          <cell r="P101" t="str">
            <v>Język angielski</v>
          </cell>
          <cell r="Q101"/>
          <cell r="S101">
            <v>41439</v>
          </cell>
          <cell r="T101" t="str">
            <v>Podstawowa</v>
          </cell>
          <cell r="U101">
            <v>6</v>
          </cell>
          <cell r="V101" t="str">
            <v>Tak (lub kolejny członek rodziny)</v>
          </cell>
          <cell r="Y101"/>
          <cell r="AA101">
            <v>15</v>
          </cell>
          <cell r="AB101">
            <v>45901</v>
          </cell>
          <cell r="AC101">
            <v>45992</v>
          </cell>
          <cell r="AM101">
            <v>64</v>
          </cell>
        </row>
        <row r="102">
          <cell r="B102">
            <v>45897.908333333333</v>
          </cell>
          <cell r="C102" t="str">
            <v>Igor</v>
          </cell>
          <cell r="D102" t="str">
            <v>Miszewski</v>
          </cell>
          <cell r="G102" t="str">
            <v>Aneta</v>
          </cell>
          <cell r="H102" t="str">
            <v>Miszewska</v>
          </cell>
          <cell r="I102">
            <v>48665933221</v>
          </cell>
          <cell r="J102" t="str">
            <v>krzysztof-miszewski1@wp.pl</v>
          </cell>
          <cell r="O102" t="str">
            <v>3-osobowa</v>
          </cell>
          <cell r="P102" t="str">
            <v>Język angielski</v>
          </cell>
          <cell r="Q102" t="str">
            <v>Ósmoklasisty</v>
          </cell>
          <cell r="S102">
            <v>40895</v>
          </cell>
          <cell r="T102" t="str">
            <v>Podstawowa</v>
          </cell>
          <cell r="U102">
            <v>8</v>
          </cell>
          <cell r="V102" t="str">
            <v>Tak (lub kolejny członek rodziny)</v>
          </cell>
          <cell r="AA102">
            <v>15</v>
          </cell>
          <cell r="AB102">
            <v>45901</v>
          </cell>
          <cell r="AC102">
            <v>45992</v>
          </cell>
          <cell r="AM102">
            <v>64</v>
          </cell>
        </row>
        <row r="103">
          <cell r="B103">
            <v>45898.841724537036</v>
          </cell>
          <cell r="C103" t="str">
            <v>Iwo</v>
          </cell>
          <cell r="D103" t="str">
            <v>Jakielski</v>
          </cell>
          <cell r="G103" t="str">
            <v>Krzysztof</v>
          </cell>
          <cell r="H103" t="str">
            <v>Jakielski</v>
          </cell>
          <cell r="I103">
            <v>48503131662</v>
          </cell>
          <cell r="J103" t="str">
            <v>krzysztofqjakielski@wp.pl</v>
          </cell>
          <cell r="O103" t="str">
            <v>Z-zorganizowana</v>
          </cell>
          <cell r="P103" t="str">
            <v>Język angielski</v>
          </cell>
          <cell r="S103">
            <v>39747</v>
          </cell>
          <cell r="T103" t="str">
            <v>Średnia - liceum</v>
          </cell>
          <cell r="U103">
            <v>3</v>
          </cell>
          <cell r="V103" t="str">
            <v>Tak (lub kolejny członek rodziny)</v>
          </cell>
          <cell r="AA103">
            <v>25</v>
          </cell>
          <cell r="AB103">
            <v>45901</v>
          </cell>
          <cell r="AC103" t="str">
            <v>maj 2026 (koniec zajęć w roku szkolnym 2025/2026)</v>
          </cell>
          <cell r="AM103">
            <v>64</v>
          </cell>
        </row>
        <row r="104">
          <cell r="B104">
            <v>45899.526388888888</v>
          </cell>
          <cell r="C104" t="str">
            <v>Alicja</v>
          </cell>
          <cell r="D104" t="str">
            <v>Maciejko</v>
          </cell>
          <cell r="G104" t="str">
            <v>Ewa</v>
          </cell>
          <cell r="H104" t="str">
            <v>Trzebiatowska-Maciejko</v>
          </cell>
          <cell r="I104">
            <v>48665612602</v>
          </cell>
          <cell r="J104" t="str">
            <v>ewa7706@wp.pl</v>
          </cell>
          <cell r="O104" t="str">
            <v>Z-zorganizowana</v>
          </cell>
          <cell r="P104" t="str">
            <v>Język angielski</v>
          </cell>
          <cell r="S104">
            <v>39792</v>
          </cell>
          <cell r="T104" t="str">
            <v>Średnia - liceum</v>
          </cell>
          <cell r="U104">
            <v>3</v>
          </cell>
          <cell r="V104" t="str">
            <v>Tak (lub kolejny członek rodziny)</v>
          </cell>
          <cell r="AA104">
            <v>15</v>
          </cell>
          <cell r="AB104">
            <v>45901</v>
          </cell>
          <cell r="AC104" t="str">
            <v>maj 2026 (koniec zajęć w roku szkolnym 2025/2026)</v>
          </cell>
          <cell r="AM104">
            <v>64</v>
          </cell>
        </row>
        <row r="105">
          <cell r="B105">
            <v>45900.382650462961</v>
          </cell>
          <cell r="C105" t="str">
            <v>Mieszko</v>
          </cell>
          <cell r="D105" t="str">
            <v>Kubański</v>
          </cell>
          <cell r="G105" t="str">
            <v>Karolina</v>
          </cell>
          <cell r="H105" t="str">
            <v>Kubańska</v>
          </cell>
          <cell r="I105">
            <v>48783496022</v>
          </cell>
          <cell r="J105" t="str">
            <v>kubanska.karolina@gmail.com</v>
          </cell>
          <cell r="O105" t="str">
            <v>Z-zorganizowana</v>
          </cell>
          <cell r="P105" t="str">
            <v>Język angielski</v>
          </cell>
          <cell r="S105">
            <v>41899</v>
          </cell>
          <cell r="T105" t="str">
            <v>Podstawowa</v>
          </cell>
          <cell r="U105">
            <v>5</v>
          </cell>
          <cell r="V105" t="str">
            <v>Nie</v>
          </cell>
          <cell r="AA105">
            <v>15</v>
          </cell>
          <cell r="AB105">
            <v>45901</v>
          </cell>
          <cell r="AC105" t="str">
            <v>maj 2026 (koniec zajęć w roku szkolnym 2025/2026)</v>
          </cell>
          <cell r="AM105">
            <v>64</v>
          </cell>
        </row>
        <row r="106">
          <cell r="B106">
            <v>45900.465046296296</v>
          </cell>
          <cell r="C106" t="str">
            <v>Mikołaj</v>
          </cell>
          <cell r="D106" t="str">
            <v>Puchalski</v>
          </cell>
          <cell r="G106" t="str">
            <v>Magdalena</v>
          </cell>
          <cell r="H106" t="str">
            <v>Getka</v>
          </cell>
          <cell r="J106" t="str">
            <v>superdekoratornia@wp.pl</v>
          </cell>
          <cell r="O106" t="str">
            <v>Z-zorganizowana</v>
          </cell>
          <cell r="P106" t="str">
            <v>Język angielski</v>
          </cell>
          <cell r="S106">
            <v>41282</v>
          </cell>
          <cell r="T106" t="str">
            <v>Podstawowa</v>
          </cell>
          <cell r="U106">
            <v>6</v>
          </cell>
          <cell r="V106" t="str">
            <v>Nie</v>
          </cell>
          <cell r="AA106">
            <v>5</v>
          </cell>
          <cell r="AB106">
            <v>45901</v>
          </cell>
          <cell r="AC106" t="str">
            <v>maj 2026 (koniec zajęć w roku szkolnym 2025/2026)</v>
          </cell>
          <cell r="AM106">
            <v>64</v>
          </cell>
        </row>
        <row r="107">
          <cell r="B107">
            <v>45901.712731481479</v>
          </cell>
          <cell r="C107" t="str">
            <v>ZOFIA</v>
          </cell>
          <cell r="D107" t="str">
            <v>LESZCZYŃSKA</v>
          </cell>
          <cell r="G107" t="str">
            <v>MAGDALENA</v>
          </cell>
          <cell r="H107" t="str">
            <v>Józefowicz</v>
          </cell>
          <cell r="I107">
            <v>48669352866</v>
          </cell>
          <cell r="J107" t="str">
            <v>tuptus44@wp.pl</v>
          </cell>
          <cell r="O107" t="str">
            <v>2-osobowa</v>
          </cell>
          <cell r="P107" t="str">
            <v>Język angielski</v>
          </cell>
          <cell r="S107">
            <v>43321</v>
          </cell>
          <cell r="T107" t="str">
            <v>Podstawowa</v>
          </cell>
          <cell r="U107">
            <v>1</v>
          </cell>
          <cell r="V107" t="str">
            <v>Nie</v>
          </cell>
          <cell r="AA107">
            <v>15</v>
          </cell>
          <cell r="AB107">
            <v>45901</v>
          </cell>
          <cell r="AC107" t="str">
            <v>maj 2026 (koniec zajęć w roku szkolnym 2025/2026)</v>
          </cell>
          <cell r="AM107">
            <v>64</v>
          </cell>
        </row>
        <row r="108">
          <cell r="B108">
            <v>45901.728020833332</v>
          </cell>
          <cell r="C108" t="str">
            <v>Marcel</v>
          </cell>
          <cell r="D108" t="str">
            <v>Anflik</v>
          </cell>
          <cell r="G108" t="str">
            <v>Katarzyna</v>
          </cell>
          <cell r="H108" t="str">
            <v>Tasarz</v>
          </cell>
          <cell r="I108">
            <v>48695306035</v>
          </cell>
          <cell r="J108" t="str">
            <v>kasiatasarz32@gmail.com</v>
          </cell>
          <cell r="O108" t="str">
            <v>Z-zorganizowana</v>
          </cell>
          <cell r="P108" t="str">
            <v>Język angielski</v>
          </cell>
          <cell r="S108">
            <v>40177</v>
          </cell>
          <cell r="T108" t="str">
            <v>Średnia - technikum</v>
          </cell>
          <cell r="U108">
            <v>2</v>
          </cell>
          <cell r="V108" t="str">
            <v>Tak (lub kolejny członek rodziny)</v>
          </cell>
          <cell r="Y108" t="str">
            <v>028/2025</v>
          </cell>
          <cell r="AA108">
            <v>15</v>
          </cell>
          <cell r="AB108">
            <v>45901</v>
          </cell>
          <cell r="AC108">
            <v>46174</v>
          </cell>
          <cell r="AM108">
            <v>64</v>
          </cell>
        </row>
        <row r="109">
          <cell r="B109">
            <v>45902.894016203703</v>
          </cell>
          <cell r="C109" t="str">
            <v>Zuzanna</v>
          </cell>
          <cell r="D109" t="str">
            <v>Warmińska</v>
          </cell>
          <cell r="G109" t="str">
            <v>Anna</v>
          </cell>
          <cell r="H109" t="str">
            <v>Warmińska</v>
          </cell>
          <cell r="I109">
            <v>48503054169</v>
          </cell>
          <cell r="J109" t="str">
            <v>aniaanna1@o2.pl</v>
          </cell>
          <cell r="O109" t="str">
            <v>Z-zorganizowana</v>
          </cell>
          <cell r="P109" t="str">
            <v>Język angielski</v>
          </cell>
          <cell r="S109">
            <v>42396</v>
          </cell>
          <cell r="T109" t="str">
            <v>Podstawowa</v>
          </cell>
          <cell r="U109">
            <v>3</v>
          </cell>
          <cell r="V109" t="str">
            <v>Tak (lub kolejny członek rodziny)</v>
          </cell>
          <cell r="Y109" t="str">
            <v>042/2025</v>
          </cell>
          <cell r="AA109">
            <v>5</v>
          </cell>
          <cell r="AB109">
            <v>45931</v>
          </cell>
          <cell r="AC109" t="str">
            <v>maj 2026 (koniec zajęć w roku szkolnym 2025/2026)</v>
          </cell>
          <cell r="AM109">
            <v>64</v>
          </cell>
        </row>
        <row r="110">
          <cell r="B110">
            <v>45903.556712962964</v>
          </cell>
          <cell r="C110" t="str">
            <v>Oliwia</v>
          </cell>
          <cell r="D110" t="str">
            <v>Kaczyńska</v>
          </cell>
          <cell r="G110" t="str">
            <v>Tomasz</v>
          </cell>
          <cell r="H110" t="str">
            <v>Kaczyński</v>
          </cell>
          <cell r="I110">
            <v>48664304727</v>
          </cell>
          <cell r="J110" t="str">
            <v>syla117@op.pl</v>
          </cell>
          <cell r="O110" t="str">
            <v>3-osobowa</v>
          </cell>
          <cell r="P110" t="str">
            <v>Matematyka</v>
          </cell>
          <cell r="Q110" t="str">
            <v>Maturalny</v>
          </cell>
          <cell r="S110">
            <v>39502</v>
          </cell>
          <cell r="T110" t="str">
            <v>Średnia - liceum</v>
          </cell>
          <cell r="U110">
            <v>4</v>
          </cell>
          <cell r="V110" t="str">
            <v>Nie</v>
          </cell>
          <cell r="AA110">
            <v>25</v>
          </cell>
          <cell r="AB110">
            <v>45901</v>
          </cell>
          <cell r="AC110">
            <v>46113</v>
          </cell>
          <cell r="AM110">
            <v>33</v>
          </cell>
        </row>
        <row r="111">
          <cell r="B111">
            <v>45903.886805555558</v>
          </cell>
          <cell r="C111" t="str">
            <v>Maja</v>
          </cell>
          <cell r="D111" t="str">
            <v>Żmudzińska</v>
          </cell>
          <cell r="G111" t="str">
            <v>Edyta</v>
          </cell>
          <cell r="H111" t="str">
            <v>Lewandowska</v>
          </cell>
          <cell r="I111">
            <v>48785589007</v>
          </cell>
          <cell r="J111" t="str">
            <v>lewandowskae48@gmail.com</v>
          </cell>
          <cell r="O111" t="str">
            <v>Z-zorganizowana</v>
          </cell>
          <cell r="P111" t="str">
            <v>Język angielski</v>
          </cell>
          <cell r="S111">
            <v>40252</v>
          </cell>
          <cell r="T111" t="str">
            <v>Średnia - liceum</v>
          </cell>
          <cell r="U111">
            <v>2</v>
          </cell>
          <cell r="V111" t="str">
            <v>Nie</v>
          </cell>
          <cell r="AA111">
            <v>5</v>
          </cell>
          <cell r="AB111">
            <v>45931</v>
          </cell>
          <cell r="AC111">
            <v>46174</v>
          </cell>
          <cell r="AM111">
            <v>64</v>
          </cell>
        </row>
        <row r="112">
          <cell r="B112">
            <v>45904.697627314818</v>
          </cell>
          <cell r="C112" t="str">
            <v>Ewa</v>
          </cell>
          <cell r="D112" t="str">
            <v>Kacperska</v>
          </cell>
          <cell r="G112" t="str">
            <v>Ewa</v>
          </cell>
          <cell r="H112" t="str">
            <v>Kacperska</v>
          </cell>
          <cell r="I112">
            <v>48693138318</v>
          </cell>
          <cell r="J112" t="str">
            <v>paintbreak@wp.pl</v>
          </cell>
          <cell r="O112" t="str">
            <v>2-osobowa</v>
          </cell>
          <cell r="P112" t="str">
            <v>Język angielski</v>
          </cell>
          <cell r="V112" t="str">
            <v>Nie</v>
          </cell>
          <cell r="AA112">
            <v>15</v>
          </cell>
          <cell r="AB112">
            <v>45931</v>
          </cell>
          <cell r="AC112">
            <v>46235</v>
          </cell>
          <cell r="AM112">
            <v>33</v>
          </cell>
        </row>
        <row r="113">
          <cell r="B113">
            <v>45905.312476851854</v>
          </cell>
          <cell r="C113" t="str">
            <v>Wiktor</v>
          </cell>
          <cell r="D113" t="str">
            <v>Tykarski</v>
          </cell>
          <cell r="G113" t="str">
            <v>Anna</v>
          </cell>
          <cell r="H113" t="str">
            <v>Tykarska</v>
          </cell>
          <cell r="I113">
            <v>48604210426</v>
          </cell>
          <cell r="J113" t="str">
            <v>A.niesiobedzka@gmail.com</v>
          </cell>
          <cell r="O113" t="str">
            <v>1-osobowa</v>
          </cell>
          <cell r="P113" t="str">
            <v>Język angielski</v>
          </cell>
          <cell r="S113">
            <v>41535</v>
          </cell>
          <cell r="T113" t="str">
            <v>Podstawowa</v>
          </cell>
          <cell r="U113">
            <v>6</v>
          </cell>
          <cell r="V113" t="str">
            <v>Tak (lub kolejny członek rodziny)</v>
          </cell>
          <cell r="AA113">
            <v>15</v>
          </cell>
          <cell r="AB113">
            <v>45901</v>
          </cell>
          <cell r="AC113" t="str">
            <v>maj 2026 (koniec zajęć w roku szkolnym 2025/2026)</v>
          </cell>
          <cell r="AM113">
            <v>33</v>
          </cell>
        </row>
        <row r="114">
          <cell r="B114">
            <v>45905.687824074077</v>
          </cell>
          <cell r="C114" t="str">
            <v>Natalia</v>
          </cell>
          <cell r="D114" t="str">
            <v>Tatarek</v>
          </cell>
          <cell r="G114" t="str">
            <v>Katarzyna</v>
          </cell>
          <cell r="H114" t="str">
            <v>Tatarek</v>
          </cell>
          <cell r="I114">
            <v>48607886623</v>
          </cell>
          <cell r="J114" t="str">
            <v>kasiatatarek@o2.pl</v>
          </cell>
          <cell r="O114" t="str">
            <v>3-osobowa</v>
          </cell>
          <cell r="P114" t="str">
            <v>Język angielski</v>
          </cell>
          <cell r="S114">
            <v>41940</v>
          </cell>
          <cell r="T114" t="str">
            <v>Podstawowa</v>
          </cell>
          <cell r="U114">
            <v>5</v>
          </cell>
          <cell r="V114" t="str">
            <v>Nie</v>
          </cell>
          <cell r="AA114">
            <v>5</v>
          </cell>
          <cell r="AB114">
            <v>45901</v>
          </cell>
          <cell r="AC114" t="str">
            <v>maj 2026 (koniec zajęć w roku szkolnym 2025/2026)</v>
          </cell>
          <cell r="AM114">
            <v>33</v>
          </cell>
        </row>
        <row r="115">
          <cell r="B115">
            <v>45907.640729166669</v>
          </cell>
          <cell r="C115" t="str">
            <v>Dominika</v>
          </cell>
          <cell r="D115" t="str">
            <v>Karbowska</v>
          </cell>
          <cell r="G115" t="str">
            <v>Marta</v>
          </cell>
          <cell r="H115" t="str">
            <v>Karbowska</v>
          </cell>
          <cell r="I115">
            <v>48691494955</v>
          </cell>
          <cell r="J115" t="str">
            <v>marta.karbowska@interia.pl</v>
          </cell>
          <cell r="O115" t="str">
            <v>Z-zorganizowana</v>
          </cell>
          <cell r="P115" t="str">
            <v>Język angielski</v>
          </cell>
          <cell r="Q115" t="str">
            <v>Maturalny</v>
          </cell>
          <cell r="S115">
            <v>39309</v>
          </cell>
          <cell r="T115" t="str">
            <v>Średnia - liceum</v>
          </cell>
          <cell r="U115">
            <v>4</v>
          </cell>
          <cell r="V115" t="str">
            <v>Tak (lub kolejny członek rodziny)</v>
          </cell>
          <cell r="AA115">
            <v>15</v>
          </cell>
          <cell r="AB115">
            <v>45901</v>
          </cell>
          <cell r="AC115">
            <v>46113</v>
          </cell>
          <cell r="AM115">
            <v>58</v>
          </cell>
        </row>
        <row r="116">
          <cell r="B116">
            <v>45908.433877314812</v>
          </cell>
          <cell r="C116" t="str">
            <v>Mateusz</v>
          </cell>
          <cell r="D116" t="str">
            <v>Hetnar-Wójcicki</v>
          </cell>
          <cell r="G116" t="str">
            <v>Alina</v>
          </cell>
          <cell r="H116" t="str">
            <v>Hetnar-Wójcicka</v>
          </cell>
          <cell r="I116">
            <v>48669231289</v>
          </cell>
          <cell r="J116" t="str">
            <v>hetnarka@tlen.pl</v>
          </cell>
          <cell r="O116" t="str">
            <v>Z-zorganizowana</v>
          </cell>
          <cell r="P116" t="str">
            <v>Matematyka</v>
          </cell>
          <cell r="S116">
            <v>40819</v>
          </cell>
          <cell r="T116" t="str">
            <v>Średnia - technikum</v>
          </cell>
          <cell r="U116">
            <v>1</v>
          </cell>
          <cell r="V116" t="str">
            <v>Tak (lub kolejny członek rodziny)</v>
          </cell>
          <cell r="AA116">
            <v>15</v>
          </cell>
          <cell r="AB116">
            <v>45901</v>
          </cell>
          <cell r="AC116" t="str">
            <v>maj 2026 (koniec zajęć w roku szkolnym 2025/2026)</v>
          </cell>
          <cell r="AM116">
            <v>64</v>
          </cell>
        </row>
        <row r="117">
          <cell r="B117">
            <v>45908.644571759258</v>
          </cell>
          <cell r="C117" t="str">
            <v>Weronika</v>
          </cell>
          <cell r="D117" t="str">
            <v>Dumkiewicz</v>
          </cell>
          <cell r="G117" t="str">
            <v>Joanna</v>
          </cell>
          <cell r="H117" t="str">
            <v>Dumkiewicz</v>
          </cell>
          <cell r="I117">
            <v>48602716135</v>
          </cell>
          <cell r="J117" t="str">
            <v>joanna624@op.pl</v>
          </cell>
          <cell r="O117" t="str">
            <v>1-osobowa</v>
          </cell>
          <cell r="P117" t="str">
            <v>Język angielski</v>
          </cell>
          <cell r="Q117" t="str">
            <v>Maturalny</v>
          </cell>
          <cell r="S117">
            <v>39563</v>
          </cell>
          <cell r="T117" t="str">
            <v>Średnia - technikum</v>
          </cell>
          <cell r="U117">
            <v>4</v>
          </cell>
          <cell r="V117" t="str">
            <v>Nie</v>
          </cell>
          <cell r="AA117">
            <v>25</v>
          </cell>
          <cell r="AB117">
            <v>45901</v>
          </cell>
          <cell r="AC117">
            <v>46174</v>
          </cell>
          <cell r="AM117">
            <v>33</v>
          </cell>
        </row>
        <row r="118">
          <cell r="B118">
            <v>45909.396365740744</v>
          </cell>
          <cell r="C118" t="str">
            <v>Paulina</v>
          </cell>
          <cell r="D118" t="str">
            <v>Szcześniak</v>
          </cell>
          <cell r="G118" t="str">
            <v>Magdalena</v>
          </cell>
          <cell r="H118" t="str">
            <v>Szcześniak</v>
          </cell>
          <cell r="I118">
            <v>48785048821</v>
          </cell>
          <cell r="J118" t="str">
            <v>magda-sep@wp.pl</v>
          </cell>
          <cell r="O118" t="str">
            <v>1-osobowa</v>
          </cell>
          <cell r="P118" t="str">
            <v>Język angielski</v>
          </cell>
          <cell r="Q118" t="str">
            <v>Ósmoklasisty</v>
          </cell>
          <cell r="S118">
            <v>40660</v>
          </cell>
          <cell r="T118" t="str">
            <v>Podstawowa</v>
          </cell>
          <cell r="U118">
            <v>8</v>
          </cell>
          <cell r="V118" t="str">
            <v>Nie</v>
          </cell>
          <cell r="AA118">
            <v>15</v>
          </cell>
          <cell r="AB118">
            <v>45901</v>
          </cell>
          <cell r="AC118" t="str">
            <v>maj 2026 (koniec zajęć w roku szkolnym 2025/2026)</v>
          </cell>
          <cell r="AM118">
            <v>33</v>
          </cell>
        </row>
        <row r="119">
          <cell r="B119">
            <v>45909.653263888889</v>
          </cell>
          <cell r="C119" t="str">
            <v>IGA</v>
          </cell>
          <cell r="D119" t="str">
            <v>GAJ</v>
          </cell>
          <cell r="G119" t="str">
            <v>ANNA</v>
          </cell>
          <cell r="H119" t="str">
            <v>Gaj</v>
          </cell>
          <cell r="I119">
            <v>48501139084</v>
          </cell>
          <cell r="J119" t="str">
            <v>kinia2781@wp.pl</v>
          </cell>
          <cell r="O119" t="str">
            <v>Z-zorganizowana</v>
          </cell>
          <cell r="P119" t="str">
            <v>Język angielski</v>
          </cell>
          <cell r="S119">
            <v>42324</v>
          </cell>
          <cell r="T119" t="str">
            <v>Podstawowa</v>
          </cell>
          <cell r="U119">
            <v>4</v>
          </cell>
          <cell r="V119" t="str">
            <v>Nie</v>
          </cell>
          <cell r="AA119">
            <v>15</v>
          </cell>
          <cell r="AB119">
            <v>45901</v>
          </cell>
          <cell r="AC119">
            <v>46174</v>
          </cell>
          <cell r="AM119">
            <v>64</v>
          </cell>
        </row>
        <row r="120">
          <cell r="B120">
            <v>45911.520069444443</v>
          </cell>
          <cell r="C120" t="str">
            <v>Krystian</v>
          </cell>
          <cell r="D120" t="str">
            <v>Matukiewicz</v>
          </cell>
          <cell r="G120" t="str">
            <v>Justyna</v>
          </cell>
          <cell r="H120" t="str">
            <v>Matukiewicz</v>
          </cell>
          <cell r="I120">
            <v>48508256610</v>
          </cell>
          <cell r="J120" t="str">
            <v>justyna.matukiewicz@op.pl</v>
          </cell>
          <cell r="O120" t="str">
            <v>Z-zorganizowana</v>
          </cell>
          <cell r="P120" t="str">
            <v>Język angielski</v>
          </cell>
          <cell r="S120">
            <v>41743</v>
          </cell>
          <cell r="T120" t="str">
            <v>Podstawowa</v>
          </cell>
          <cell r="U120">
            <v>5</v>
          </cell>
          <cell r="V120" t="str">
            <v>Tak (lub kolejny członek rodziny)</v>
          </cell>
          <cell r="Y120" t="str">
            <v>041/2025</v>
          </cell>
          <cell r="AA120">
            <v>15</v>
          </cell>
          <cell r="AB120">
            <v>45901</v>
          </cell>
          <cell r="AC120" t="str">
            <v>maj 2026 (koniec zajęć w roku szkolnym 2025/2026)</v>
          </cell>
        </row>
        <row r="121">
          <cell r="B121">
            <v>45912.415520833332</v>
          </cell>
          <cell r="C121" t="str">
            <v>Oliwia</v>
          </cell>
          <cell r="D121" t="str">
            <v>Mościcka</v>
          </cell>
          <cell r="G121" t="str">
            <v>Milena</v>
          </cell>
          <cell r="H121" t="str">
            <v>Mościcka</v>
          </cell>
          <cell r="I121">
            <v>48503803757</v>
          </cell>
          <cell r="J121" t="str">
            <v>cymerka@gmail.com</v>
          </cell>
          <cell r="O121" t="str">
            <v>1-osobowa</v>
          </cell>
          <cell r="P121" t="str">
            <v>Język angielski</v>
          </cell>
          <cell r="S121">
            <v>41667</v>
          </cell>
          <cell r="T121" t="str">
            <v>Podstawowa</v>
          </cell>
          <cell r="U121">
            <v>5</v>
          </cell>
          <cell r="V121" t="str">
            <v>Nie</v>
          </cell>
          <cell r="AA121">
            <v>15</v>
          </cell>
          <cell r="AB121">
            <v>45931</v>
          </cell>
          <cell r="AC121">
            <v>46174</v>
          </cell>
        </row>
        <row r="122">
          <cell r="B122">
            <v>45912.671203703707</v>
          </cell>
          <cell r="C122" t="str">
            <v>Karina</v>
          </cell>
          <cell r="D122" t="str">
            <v>Ulias-Ziejewska</v>
          </cell>
          <cell r="G122" t="str">
            <v>Ewelina</v>
          </cell>
          <cell r="H122" t="str">
            <v>Ulias</v>
          </cell>
          <cell r="I122">
            <v>48662273681</v>
          </cell>
          <cell r="J122" t="str">
            <v>e.wisniewska_ziemar@op.pl</v>
          </cell>
          <cell r="O122" t="str">
            <v>Z-zorganizowana</v>
          </cell>
          <cell r="P122" t="str">
            <v>Język angielski</v>
          </cell>
          <cell r="S122">
            <v>42104</v>
          </cell>
          <cell r="T122" t="str">
            <v>Podstawowa</v>
          </cell>
          <cell r="U122">
            <v>5</v>
          </cell>
          <cell r="V122" t="str">
            <v>Tak (lub kolejny członek rodziny)</v>
          </cell>
          <cell r="Y122" t="str">
            <v>038/2025</v>
          </cell>
          <cell r="AA122">
            <v>15</v>
          </cell>
          <cell r="AB122">
            <v>45901</v>
          </cell>
          <cell r="AC122" t="str">
            <v>maj 2026 (koniec zajęć w roku szkolnym 2025/2026)</v>
          </cell>
        </row>
        <row r="123">
          <cell r="B123"/>
          <cell r="C123" t="str">
            <v>Julia</v>
          </cell>
          <cell r="D123" t="str">
            <v>Borucka</v>
          </cell>
          <cell r="G123" t="str">
            <v>Wioletta</v>
          </cell>
          <cell r="H123" t="str">
            <v>Borucka</v>
          </cell>
          <cell r="I123">
            <v>48502620559</v>
          </cell>
          <cell r="J123" t="str">
            <v>Wiolab0@op.pl</v>
          </cell>
          <cell r="O123" t="str">
            <v>Z-zorganizowana</v>
          </cell>
          <cell r="P123" t="str">
            <v>Język angielski</v>
          </cell>
          <cell r="Q123" t="str">
            <v>Maturalny</v>
          </cell>
          <cell r="S123">
            <v>39182</v>
          </cell>
          <cell r="T123" t="str">
            <v>Średnia - liceum</v>
          </cell>
          <cell r="U123">
            <v>4</v>
          </cell>
          <cell r="V123" t="str">
            <v>Tak (lub kolejny członek rodziny)</v>
          </cell>
          <cell r="Y123" t="str">
            <v>031/2025</v>
          </cell>
          <cell r="AA123">
            <v>25</v>
          </cell>
          <cell r="AB123">
            <v>45901</v>
          </cell>
          <cell r="AC123" t="str">
            <v>maj 2026 (koniec zajęć w roku szkolnym 2025/2026)</v>
          </cell>
        </row>
        <row r="124">
          <cell r="B124">
            <v>45916.41746527778</v>
          </cell>
          <cell r="C124" t="str">
            <v>Magdalena</v>
          </cell>
          <cell r="D124" t="str">
            <v>Templin</v>
          </cell>
          <cell r="G124" t="str">
            <v>Kamilla</v>
          </cell>
          <cell r="H124" t="str">
            <v>Templin</v>
          </cell>
          <cell r="I124">
            <v>48600280927</v>
          </cell>
          <cell r="J124" t="str">
            <v>kamciamal@vp.pl</v>
          </cell>
          <cell r="O124" t="str">
            <v>Z-zorganizowana</v>
          </cell>
          <cell r="P124" t="str">
            <v>Język angielski</v>
          </cell>
          <cell r="Q124" t="str">
            <v>Ósmoklasisty</v>
          </cell>
          <cell r="S124">
            <v>41253</v>
          </cell>
          <cell r="T124" t="str">
            <v>Podstawowa</v>
          </cell>
          <cell r="U124">
            <v>7</v>
          </cell>
          <cell r="V124" t="str">
            <v>Nie</v>
          </cell>
          <cell r="AA124">
            <v>25</v>
          </cell>
          <cell r="AB124">
            <v>45901</v>
          </cell>
          <cell r="AC124" t="str">
            <v>maj 2026 (koniec zajęć w roku szkolnym 2025/2026)</v>
          </cell>
        </row>
        <row r="125">
          <cell r="B125">
            <v>45926.588680555556</v>
          </cell>
          <cell r="C125" t="str">
            <v>Bożena</v>
          </cell>
          <cell r="D125" t="str">
            <v>Chrapkowska</v>
          </cell>
          <cell r="G125" t="str">
            <v>Bożena</v>
          </cell>
          <cell r="H125" t="str">
            <v>Chrapkowska</v>
          </cell>
          <cell r="I125">
            <v>48697570511</v>
          </cell>
          <cell r="J125" t="str">
            <v>bchrapkowska@wp.pl</v>
          </cell>
          <cell r="O125" t="str">
            <v>3-osobowa</v>
          </cell>
          <cell r="P125" t="str">
            <v>Język angielski</v>
          </cell>
          <cell r="V125" t="str">
            <v>Nie</v>
          </cell>
          <cell r="AA125">
            <v>5</v>
          </cell>
          <cell r="AB125">
            <v>45931</v>
          </cell>
          <cell r="AC125" t="str">
            <v>maj 2026 (koniec zajęć w roku szkolnym 2025/2026)</v>
          </cell>
        </row>
        <row r="126">
          <cell r="B126">
            <v>45929.563611111109</v>
          </cell>
          <cell r="C126" t="str">
            <v>Joanna</v>
          </cell>
          <cell r="D126" t="str">
            <v>Więczkowska</v>
          </cell>
          <cell r="G126" t="str">
            <v>Joanna</v>
          </cell>
          <cell r="H126" t="str">
            <v>Więczkowska</v>
          </cell>
          <cell r="I126">
            <v>48728567116</v>
          </cell>
          <cell r="J126" t="str">
            <v>jovanna5@wp.pl</v>
          </cell>
          <cell r="O126" t="str">
            <v>2-osobowa</v>
          </cell>
          <cell r="P126" t="str">
            <v>Język angielski</v>
          </cell>
          <cell r="V126" t="str">
            <v>Nie</v>
          </cell>
          <cell r="AA126">
            <v>25</v>
          </cell>
          <cell r="AB126">
            <v>45931</v>
          </cell>
          <cell r="AC126">
            <v>46235</v>
          </cell>
        </row>
        <row r="127">
          <cell r="B127">
            <v>45931.560208333336</v>
          </cell>
          <cell r="C127" t="str">
            <v>Nikola</v>
          </cell>
          <cell r="D127" t="str">
            <v>Maciejewska</v>
          </cell>
          <cell r="G127" t="str">
            <v>Patrycja</v>
          </cell>
          <cell r="H127" t="str">
            <v>Maciejewska</v>
          </cell>
          <cell r="I127">
            <v>48609080732</v>
          </cell>
          <cell r="J127" t="str">
            <v>patrycja.maciejewska290381@interia.pl</v>
          </cell>
          <cell r="O127" t="str">
            <v>1-osobowa</v>
          </cell>
          <cell r="P127" t="str">
            <v>Matematyka</v>
          </cell>
          <cell r="S127">
            <v>39497</v>
          </cell>
          <cell r="T127" t="str">
            <v>Średnia - liceum</v>
          </cell>
          <cell r="U127">
            <v>4</v>
          </cell>
          <cell r="V127" t="str">
            <v>Nie</v>
          </cell>
          <cell r="AA127">
            <v>15</v>
          </cell>
          <cell r="AB127">
            <v>45931</v>
          </cell>
          <cell r="AC127">
            <v>46113</v>
          </cell>
        </row>
        <row r="128">
          <cell r="B128">
            <v>45932.539861111109</v>
          </cell>
          <cell r="C128" t="str">
            <v>Karolina</v>
          </cell>
          <cell r="D128" t="str">
            <v>Łątkowska</v>
          </cell>
          <cell r="G128" t="str">
            <v>Karolina</v>
          </cell>
          <cell r="H128" t="str">
            <v>Łątkowska</v>
          </cell>
          <cell r="I128">
            <v>48512804501</v>
          </cell>
          <cell r="J128" t="str">
            <v>k.latkowska53@gmail.com</v>
          </cell>
          <cell r="O128" t="str">
            <v>Z-zorganizowana</v>
          </cell>
          <cell r="P128" t="str">
            <v>Język angielski</v>
          </cell>
          <cell r="V128" t="str">
            <v>Nie</v>
          </cell>
          <cell r="AA128">
            <v>15</v>
          </cell>
          <cell r="AB128">
            <v>45931</v>
          </cell>
          <cell r="AC128">
            <v>46235</v>
          </cell>
        </row>
        <row r="129">
          <cell r="B129"/>
          <cell r="C129" t="str">
            <v>Piotr</v>
          </cell>
          <cell r="D129" t="str">
            <v>Ochocki</v>
          </cell>
          <cell r="G129" t="str">
            <v>Piotr</v>
          </cell>
          <cell r="H129" t="str">
            <v>Ochocki</v>
          </cell>
          <cell r="I129">
            <v>48509146138</v>
          </cell>
          <cell r="J129" t="str">
            <v>piotr.ochocki@inter.ikea.com</v>
          </cell>
          <cell r="O129" t="str">
            <v>1-osobowa</v>
          </cell>
          <cell r="P129" t="str">
            <v>Język angielski</v>
          </cell>
          <cell r="V129" t="str">
            <v>Tak (lub kolejny członek rodziny)</v>
          </cell>
          <cell r="Y129" t="str">
            <v>089/2025</v>
          </cell>
          <cell r="AA129">
            <v>25</v>
          </cell>
          <cell r="AB129">
            <v>45945</v>
          </cell>
          <cell r="AC129" t="str">
            <v>maj 2026 (koniec zajęć w roku szkolnym 2025/2026)</v>
          </cell>
        </row>
        <row r="130">
          <cell r="B130">
            <v>45950.54954861111</v>
          </cell>
          <cell r="C130" t="str">
            <v>Kamila</v>
          </cell>
          <cell r="D130" t="str">
            <v>Gurowska</v>
          </cell>
          <cell r="G130" t="str">
            <v>Kamila</v>
          </cell>
          <cell r="H130" t="str">
            <v>Gurowska</v>
          </cell>
          <cell r="I130">
            <v>48664176029</v>
          </cell>
          <cell r="J130" t="str">
            <v>gurowskakamila@wp.pl</v>
          </cell>
          <cell r="O130" t="str">
            <v>Z-zorganizowana</v>
          </cell>
          <cell r="P130" t="str">
            <v>Język angielski</v>
          </cell>
          <cell r="V130" t="str">
            <v>Nie</v>
          </cell>
          <cell r="AA130">
            <v>25</v>
          </cell>
          <cell r="AB130">
            <v>45986</v>
          </cell>
          <cell r="AC130">
            <v>46174</v>
          </cell>
        </row>
        <row r="131">
          <cell r="B131"/>
        </row>
        <row r="132">
          <cell r="B132"/>
        </row>
        <row r="133">
          <cell r="B133"/>
        </row>
        <row r="134">
          <cell r="B134"/>
        </row>
        <row r="135">
          <cell r="B135"/>
        </row>
        <row r="136">
          <cell r="B136"/>
        </row>
        <row r="137">
          <cell r="B137"/>
        </row>
        <row r="138">
          <cell r="B138"/>
        </row>
        <row r="139">
          <cell r="B139"/>
        </row>
        <row r="140">
          <cell r="B140"/>
        </row>
        <row r="141">
          <cell r="B141"/>
        </row>
        <row r="142">
          <cell r="B142"/>
        </row>
        <row r="143">
          <cell r="B143"/>
        </row>
        <row r="144">
          <cell r="B144"/>
        </row>
        <row r="145">
          <cell r="B145"/>
        </row>
        <row r="146">
          <cell r="B146"/>
        </row>
        <row r="147">
          <cell r="B147"/>
        </row>
        <row r="148">
          <cell r="B148"/>
        </row>
        <row r="149">
          <cell r="B149"/>
        </row>
        <row r="150">
          <cell r="B150"/>
        </row>
        <row r="151">
          <cell r="B151"/>
        </row>
        <row r="152">
          <cell r="B152"/>
        </row>
        <row r="153">
          <cell r="B153"/>
        </row>
        <row r="154">
          <cell r="B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</sheetData>
      <sheetData sheetId="4">
        <row r="2">
          <cell r="AG2">
            <v>5</v>
          </cell>
        </row>
        <row r="3">
          <cell r="A3">
            <v>1</v>
          </cell>
          <cell r="B3">
            <v>45839.885821759257</v>
          </cell>
          <cell r="C3" t="str">
            <v>Agnieszka Ringwelska</v>
          </cell>
          <cell r="D3" t="str">
            <v>13-300 Nowe Miasto Lubawskie</v>
          </cell>
          <cell r="E3" t="str">
            <v>Szkolna 4/4</v>
          </cell>
          <cell r="F3">
            <v>86011711809</v>
          </cell>
          <cell r="G3" t="str">
            <v>+48 790 243 827</v>
          </cell>
          <cell r="H3" t="str">
            <v>a.ringwelska@interia.pl</v>
          </cell>
          <cell r="I3" t="str">
            <v>Franciszek Zalewski</v>
          </cell>
          <cell r="J3">
            <v>12</v>
          </cell>
          <cell r="K3" t="str">
            <v>Podstawowa</v>
          </cell>
          <cell r="L3">
            <v>6</v>
          </cell>
          <cell r="M3" t="str">
            <v>Język angielski</v>
          </cell>
          <cell r="N3">
            <v>0</v>
          </cell>
          <cell r="O3" t="str">
            <v>Tak (lub kolejny członek rodziny)</v>
          </cell>
          <cell r="P3">
            <v>1</v>
          </cell>
          <cell r="Q3" t="str">
            <v>043/2025</v>
          </cell>
          <cell r="R3" t="str">
            <v>N</v>
          </cell>
          <cell r="S3" t="str">
            <v>T</v>
          </cell>
          <cell r="T3">
            <v>5</v>
          </cell>
          <cell r="U3" t="str">
            <v>Z</v>
          </cell>
          <cell r="V3">
            <v>64</v>
          </cell>
          <cell r="W3" t="str">
            <v>wrzesień 2025</v>
          </cell>
          <cell r="X3" t="str">
            <v>maj 2026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>
            <v>2</v>
          </cell>
          <cell r="B4">
            <v>45839.888518518521</v>
          </cell>
          <cell r="C4" t="str">
            <v>Sylwia Kozłowska</v>
          </cell>
          <cell r="D4" t="str">
            <v>14-200 Iława</v>
          </cell>
          <cell r="E4" t="str">
            <v>Jagiellończyka 16A/20</v>
          </cell>
          <cell r="F4">
            <v>86072205480</v>
          </cell>
          <cell r="G4" t="str">
            <v>+48 697 715 972</v>
          </cell>
          <cell r="H4" t="str">
            <v>sylwia.warszawa@poczta.onet.pl</v>
          </cell>
          <cell r="I4" t="str">
            <v>Alicja Kozłowska</v>
          </cell>
          <cell r="J4">
            <v>12</v>
          </cell>
          <cell r="K4" t="str">
            <v>Podstawowa</v>
          </cell>
          <cell r="L4">
            <v>6</v>
          </cell>
          <cell r="M4" t="str">
            <v>Język angielski</v>
          </cell>
          <cell r="N4">
            <v>0</v>
          </cell>
          <cell r="O4" t="str">
            <v>Tak (lub kolejny członek rodziny)</v>
          </cell>
          <cell r="P4">
            <v>2</v>
          </cell>
          <cell r="Q4" t="str">
            <v>025/2025</v>
          </cell>
          <cell r="R4" t="str">
            <v>N</v>
          </cell>
          <cell r="S4" t="str">
            <v>T</v>
          </cell>
          <cell r="T4">
            <v>5</v>
          </cell>
          <cell r="U4" t="str">
            <v>Z</v>
          </cell>
          <cell r="V4">
            <v>64</v>
          </cell>
          <cell r="W4" t="str">
            <v>wrzesień 2025</v>
          </cell>
          <cell r="X4" t="str">
            <v>czerwiec 2026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>
            <v>3</v>
          </cell>
          <cell r="B5">
            <v>45839.891701388886</v>
          </cell>
          <cell r="C5" t="str">
            <v>Sylwia Kozłowska</v>
          </cell>
          <cell r="D5" t="str">
            <v>14-200 Iława</v>
          </cell>
          <cell r="E5" t="str">
            <v>Jagiellończyka 16A/20</v>
          </cell>
          <cell r="F5">
            <v>86072205480</v>
          </cell>
          <cell r="G5" t="str">
            <v>+48 697 715 972</v>
          </cell>
          <cell r="H5" t="str">
            <v>sylwia.warszawa@poczta.onet.pl</v>
          </cell>
          <cell r="I5" t="str">
            <v>Wojciech Adrian Kozłowski</v>
          </cell>
          <cell r="J5">
            <v>9</v>
          </cell>
          <cell r="K5" t="str">
            <v>Podstawowa</v>
          </cell>
          <cell r="L5">
            <v>2</v>
          </cell>
          <cell r="M5" t="str">
            <v>Język angielski</v>
          </cell>
          <cell r="N5">
            <v>0</v>
          </cell>
          <cell r="O5" t="str">
            <v>Tak (lub kolejny członek rodziny)</v>
          </cell>
          <cell r="P5">
            <v>2</v>
          </cell>
          <cell r="Q5">
            <v>0</v>
          </cell>
          <cell r="R5" t="str">
            <v>N</v>
          </cell>
          <cell r="S5" t="str">
            <v>T</v>
          </cell>
          <cell r="T5">
            <v>5</v>
          </cell>
          <cell r="U5" t="str">
            <v>Z</v>
          </cell>
          <cell r="V5">
            <v>64</v>
          </cell>
          <cell r="W5" t="str">
            <v>wrzesień 2025</v>
          </cell>
          <cell r="X5" t="str">
            <v>czerwiec 2026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A6">
            <v>4</v>
          </cell>
          <cell r="B6">
            <v>45839.899965277778</v>
          </cell>
          <cell r="C6" t="str">
            <v>Joanna Rosińska</v>
          </cell>
          <cell r="D6" t="str">
            <v xml:space="preserve">13-300 Nowe Miasto Lubawskie </v>
          </cell>
          <cell r="E6" t="str">
            <v>Jagiellońska 34/3</v>
          </cell>
          <cell r="F6">
            <v>85031011287</v>
          </cell>
          <cell r="G6" t="str">
            <v>+48 693 657 335</v>
          </cell>
          <cell r="H6" t="str">
            <v>joannapiendak@gmail.com</v>
          </cell>
          <cell r="I6" t="str">
            <v>Julia Rosińska</v>
          </cell>
          <cell r="J6">
            <v>10</v>
          </cell>
          <cell r="K6" t="str">
            <v>Podstawowa</v>
          </cell>
          <cell r="L6">
            <v>3</v>
          </cell>
          <cell r="M6" t="str">
            <v>Język angielski</v>
          </cell>
          <cell r="N6">
            <v>0</v>
          </cell>
          <cell r="O6" t="str">
            <v>Tak (lub kolejny członek rodziny)</v>
          </cell>
          <cell r="P6">
            <v>1</v>
          </cell>
          <cell r="Q6" t="str">
            <v>005/2025</v>
          </cell>
          <cell r="R6" t="str">
            <v>N</v>
          </cell>
          <cell r="S6" t="str">
            <v>T</v>
          </cell>
          <cell r="T6">
            <v>25</v>
          </cell>
          <cell r="U6" t="str">
            <v>Z</v>
          </cell>
          <cell r="V6">
            <v>64</v>
          </cell>
          <cell r="W6" t="str">
            <v>wrzesień 2025</v>
          </cell>
          <cell r="X6" t="str">
            <v>maj 2026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A7">
            <v>5</v>
          </cell>
          <cell r="B7">
            <v>45840.524641203701</v>
          </cell>
          <cell r="C7" t="str">
            <v>Barbara Pawłowska</v>
          </cell>
          <cell r="D7" t="str">
            <v xml:space="preserve">14-200 Iława </v>
          </cell>
          <cell r="E7" t="str">
            <v>Porzeczkowa 3</v>
          </cell>
          <cell r="F7">
            <v>99121300405</v>
          </cell>
          <cell r="G7" t="str">
            <v>+48 690 692 232</v>
          </cell>
          <cell r="H7" t="str">
            <v>barbara.pawlowska1999@gmail.com</v>
          </cell>
          <cell r="I7" t="str">
            <v>Laila Kosmala</v>
          </cell>
          <cell r="J7">
            <v>7</v>
          </cell>
          <cell r="K7" t="str">
            <v>Podstawowa</v>
          </cell>
          <cell r="L7">
            <v>1</v>
          </cell>
          <cell r="M7" t="str">
            <v>Język angielski</v>
          </cell>
          <cell r="N7">
            <v>0</v>
          </cell>
          <cell r="O7" t="str">
            <v>Nie</v>
          </cell>
          <cell r="P7">
            <v>1</v>
          </cell>
          <cell r="Q7">
            <v>0</v>
          </cell>
          <cell r="R7" t="str">
            <v>N</v>
          </cell>
          <cell r="S7" t="str">
            <v>T</v>
          </cell>
          <cell r="T7">
            <v>15</v>
          </cell>
          <cell r="U7" t="str">
            <v>Z</v>
          </cell>
          <cell r="V7">
            <v>64</v>
          </cell>
          <cell r="W7" t="str">
            <v>sierpień 2025</v>
          </cell>
          <cell r="X7" t="str">
            <v>maj 2026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>
            <v>6</v>
          </cell>
          <cell r="B8">
            <v>45840.549502314818</v>
          </cell>
          <cell r="C8" t="str">
            <v>Wojciech Roszak</v>
          </cell>
          <cell r="D8" t="str">
            <v>14-200 Iława</v>
          </cell>
          <cell r="E8" t="str">
            <v>Ogrodowa 9</v>
          </cell>
          <cell r="F8">
            <v>88021500974</v>
          </cell>
          <cell r="G8" t="str">
            <v>+48 570 091 001</v>
          </cell>
          <cell r="H8" t="str">
            <v>wojrosz@gmail.com</v>
          </cell>
          <cell r="I8" t="str">
            <v>Maksymilian Roszak</v>
          </cell>
          <cell r="J8">
            <v>11</v>
          </cell>
          <cell r="K8" t="str">
            <v>Podstawowa</v>
          </cell>
          <cell r="L8">
            <v>5</v>
          </cell>
          <cell r="M8" t="str">
            <v>Język angielski</v>
          </cell>
          <cell r="N8">
            <v>0</v>
          </cell>
          <cell r="O8" t="str">
            <v>Tak (lub kolejny członek rodziny)</v>
          </cell>
          <cell r="P8">
            <v>1</v>
          </cell>
          <cell r="Q8" t="str">
            <v>029/2025</v>
          </cell>
          <cell r="R8" t="str">
            <v>N</v>
          </cell>
          <cell r="S8" t="str">
            <v>T</v>
          </cell>
          <cell r="T8">
            <v>25</v>
          </cell>
          <cell r="U8" t="str">
            <v>Z</v>
          </cell>
          <cell r="V8">
            <v>64</v>
          </cell>
          <cell r="W8" t="str">
            <v>wrzesień 2025</v>
          </cell>
          <cell r="X8" t="str">
            <v>maj 2026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>
            <v>7</v>
          </cell>
          <cell r="B9">
            <v>45840.580011574071</v>
          </cell>
          <cell r="C9" t="str">
            <v>Joanna Mielnik</v>
          </cell>
          <cell r="D9" t="str">
            <v>13-300 Nowe Miasto Lubawskie</v>
          </cell>
          <cell r="E9" t="str">
            <v xml:space="preserve">Kamionki 17i </v>
          </cell>
          <cell r="F9">
            <v>80110711900</v>
          </cell>
          <cell r="G9" t="str">
            <v>+48 798 614 471</v>
          </cell>
          <cell r="H9" t="str">
            <v>mielnik_j@o2.pl</v>
          </cell>
          <cell r="I9" t="str">
            <v>Anna Mielnik</v>
          </cell>
          <cell r="J9">
            <v>10</v>
          </cell>
          <cell r="K9" t="str">
            <v>Podstawowa</v>
          </cell>
          <cell r="L9">
            <v>3</v>
          </cell>
          <cell r="M9" t="str">
            <v>Język angielski</v>
          </cell>
          <cell r="N9">
            <v>0</v>
          </cell>
          <cell r="O9" t="str">
            <v>Tak (lub kolejny członek rodziny)</v>
          </cell>
          <cell r="P9">
            <v>1</v>
          </cell>
          <cell r="Q9" t="str">
            <v>004/2025</v>
          </cell>
          <cell r="R9" t="str">
            <v>N</v>
          </cell>
          <cell r="S9" t="str">
            <v>T</v>
          </cell>
          <cell r="T9">
            <v>15</v>
          </cell>
          <cell r="U9" t="str">
            <v>Z</v>
          </cell>
          <cell r="V9">
            <v>64</v>
          </cell>
          <cell r="W9" t="str">
            <v>wrzesień 2025</v>
          </cell>
          <cell r="X9" t="str">
            <v>maj 2026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>
            <v>8</v>
          </cell>
          <cell r="B10">
            <v>45840.598981481482</v>
          </cell>
          <cell r="C10" t="str">
            <v>Karolina Cieciuch</v>
          </cell>
          <cell r="D10" t="str">
            <v>14-200 Iława</v>
          </cell>
          <cell r="E10" t="str">
            <v>Piotra Skargi 2/11</v>
          </cell>
          <cell r="F10">
            <v>85081509220</v>
          </cell>
          <cell r="G10" t="str">
            <v>+48 731 900 042</v>
          </cell>
          <cell r="H10" t="str">
            <v>karolina150885@icloud.com</v>
          </cell>
          <cell r="I10" t="str">
            <v>Maja Cieciuch</v>
          </cell>
          <cell r="J10">
            <v>16</v>
          </cell>
          <cell r="K10" t="str">
            <v>Średnia - technikum</v>
          </cell>
          <cell r="L10">
            <v>2</v>
          </cell>
          <cell r="M10" t="str">
            <v>Język angielski</v>
          </cell>
          <cell r="N10" t="str">
            <v>Maturalny</v>
          </cell>
          <cell r="O10" t="str">
            <v>Tak (lub kolejny członek rodziny)</v>
          </cell>
          <cell r="P10">
            <v>1</v>
          </cell>
          <cell r="Q10" t="str">
            <v>027/2025</v>
          </cell>
          <cell r="R10" t="str">
            <v>N</v>
          </cell>
          <cell r="S10" t="str">
            <v>T</v>
          </cell>
          <cell r="T10">
            <v>15</v>
          </cell>
          <cell r="U10" t="str">
            <v>Z</v>
          </cell>
          <cell r="V10">
            <v>58</v>
          </cell>
          <cell r="W10" t="str">
            <v>wrzesień 2025</v>
          </cell>
          <cell r="X10" t="str">
            <v>czerwiec 2026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>
            <v>9</v>
          </cell>
          <cell r="B11">
            <v>45840.658935185187</v>
          </cell>
          <cell r="C11" t="str">
            <v>Regina Pokojska</v>
          </cell>
          <cell r="D11" t="str">
            <v>14-260 Sampława</v>
          </cell>
          <cell r="E11" t="str">
            <v>Sampława 14b</v>
          </cell>
          <cell r="F11">
            <v>84050914104</v>
          </cell>
          <cell r="G11" t="str">
            <v>+48 530 090 584</v>
          </cell>
          <cell r="H11" t="str">
            <v>regina.wp@wp.pl</v>
          </cell>
          <cell r="I11" t="str">
            <v>Aleksander Pokojski</v>
          </cell>
          <cell r="J11">
            <v>11</v>
          </cell>
          <cell r="K11" t="str">
            <v>Podstawowa</v>
          </cell>
          <cell r="L11">
            <v>4</v>
          </cell>
          <cell r="M11" t="str">
            <v>Język angielski</v>
          </cell>
          <cell r="N11">
            <v>0</v>
          </cell>
          <cell r="O11" t="str">
            <v>Tak (lub kolejny członek rodziny)</v>
          </cell>
          <cell r="P11">
            <v>1</v>
          </cell>
          <cell r="Q11" t="str">
            <v>035/2025</v>
          </cell>
          <cell r="R11" t="str">
            <v>N</v>
          </cell>
          <cell r="S11" t="str">
            <v>T</v>
          </cell>
          <cell r="T11">
            <v>15</v>
          </cell>
          <cell r="U11" t="str">
            <v>Ix3</v>
          </cell>
          <cell r="V11">
            <v>33</v>
          </cell>
          <cell r="W11" t="str">
            <v>wrzesień 2025</v>
          </cell>
          <cell r="X11" t="str">
            <v>czerwiec 2026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>
            <v>10</v>
          </cell>
          <cell r="B12">
            <v>45840.666516203702</v>
          </cell>
          <cell r="C12" t="str">
            <v>Beata Kuhnwald</v>
          </cell>
          <cell r="D12" t="str">
            <v xml:space="preserve">14-260 Lubawa </v>
          </cell>
          <cell r="E12" t="str">
            <v>Samplawa 57</v>
          </cell>
          <cell r="F12">
            <v>81020212666</v>
          </cell>
          <cell r="G12" t="str">
            <v>+48 698 028 045</v>
          </cell>
          <cell r="H12" t="str">
            <v>beatakuhnwald@gmail.com</v>
          </cell>
          <cell r="I12" t="str">
            <v>Bianka Kuhnwald</v>
          </cell>
          <cell r="J12">
            <v>10</v>
          </cell>
          <cell r="K12" t="str">
            <v>Podstawowa</v>
          </cell>
          <cell r="L12">
            <v>4</v>
          </cell>
          <cell r="M12" t="str">
            <v>Język angielski</v>
          </cell>
          <cell r="N12">
            <v>0</v>
          </cell>
          <cell r="O12" t="str">
            <v>Tak (lub kolejny członek rodziny)</v>
          </cell>
          <cell r="P12">
            <v>2</v>
          </cell>
          <cell r="Q12" t="str">
            <v>034/2025</v>
          </cell>
          <cell r="R12">
            <v>1</v>
          </cell>
          <cell r="S12" t="str">
            <v>T</v>
          </cell>
          <cell r="T12">
            <v>15</v>
          </cell>
          <cell r="U12" t="str">
            <v>Ix3</v>
          </cell>
          <cell r="V12">
            <v>33</v>
          </cell>
          <cell r="W12" t="str">
            <v>wrzesień 2025</v>
          </cell>
          <cell r="X12" t="str">
            <v>maj 2026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>
            <v>11</v>
          </cell>
          <cell r="B13">
            <v>45840.677361111113</v>
          </cell>
          <cell r="C13" t="str">
            <v>Jowita Święcka</v>
          </cell>
          <cell r="D13" t="str">
            <v>14-200 Iława</v>
          </cell>
          <cell r="E13" t="str">
            <v>Smolki 4/11</v>
          </cell>
          <cell r="F13">
            <v>72020909049</v>
          </cell>
          <cell r="G13" t="str">
            <v>+48 608 088 431</v>
          </cell>
          <cell r="H13" t="str">
            <v>jowitaswiecka72@gmail.com</v>
          </cell>
          <cell r="I13" t="str">
            <v>Zuzanna Święcka</v>
          </cell>
          <cell r="J13">
            <v>19</v>
          </cell>
          <cell r="K13" t="str">
            <v>Średnia - liceum</v>
          </cell>
          <cell r="L13">
            <v>3</v>
          </cell>
          <cell r="M13" t="str">
            <v>Język angielski</v>
          </cell>
          <cell r="N13" t="str">
            <v>Maturalny</v>
          </cell>
          <cell r="O13" t="str">
            <v>Tak (lub kolejny członek rodziny)</v>
          </cell>
          <cell r="P13">
            <v>1</v>
          </cell>
          <cell r="Q13" t="str">
            <v>065/2025</v>
          </cell>
          <cell r="R13" t="str">
            <v>N</v>
          </cell>
          <cell r="S13" t="str">
            <v>T</v>
          </cell>
          <cell r="T13">
            <v>25</v>
          </cell>
          <cell r="U13" t="str">
            <v>Z</v>
          </cell>
          <cell r="V13">
            <v>58</v>
          </cell>
          <cell r="W13" t="str">
            <v>wrzesień 2025</v>
          </cell>
          <cell r="X13" t="str">
            <v>maj 2026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>
            <v>12</v>
          </cell>
          <cell r="B14">
            <v>45840.705509259256</v>
          </cell>
          <cell r="C14" t="str">
            <v>Aneta Racka</v>
          </cell>
          <cell r="D14" t="str">
            <v>14-200 Iława</v>
          </cell>
          <cell r="E14" t="str">
            <v>Kościuszki 39/15</v>
          </cell>
          <cell r="F14">
            <v>73102806700</v>
          </cell>
          <cell r="G14" t="str">
            <v>+48 507 402 409</v>
          </cell>
          <cell r="H14" t="str">
            <v>anetaracka123@gmail.com</v>
          </cell>
          <cell r="I14" t="str">
            <v>Michał Racki</v>
          </cell>
          <cell r="J14">
            <v>18</v>
          </cell>
          <cell r="K14" t="str">
            <v>Średnia - liceum</v>
          </cell>
          <cell r="L14">
            <v>4</v>
          </cell>
          <cell r="M14" t="str">
            <v>Język angielski</v>
          </cell>
          <cell r="N14" t="str">
            <v>Maturalny</v>
          </cell>
          <cell r="O14" t="str">
            <v>Tak (lub kolejny członek rodziny)</v>
          </cell>
          <cell r="P14">
            <v>1</v>
          </cell>
          <cell r="Q14">
            <v>0</v>
          </cell>
          <cell r="R14" t="str">
            <v>N</v>
          </cell>
          <cell r="S14" t="str">
            <v>T</v>
          </cell>
          <cell r="T14">
            <v>15</v>
          </cell>
          <cell r="U14" t="str">
            <v>Z</v>
          </cell>
          <cell r="V14">
            <v>58</v>
          </cell>
          <cell r="W14" t="str">
            <v>wrzesień 2025</v>
          </cell>
          <cell r="X14" t="str">
            <v>maj 2026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>
            <v>13</v>
          </cell>
          <cell r="B15">
            <v>45840.735810185186</v>
          </cell>
          <cell r="C15" t="str">
            <v>Beata Listkowska</v>
          </cell>
          <cell r="D15" t="str">
            <v>14-200 IŁAWA</v>
          </cell>
          <cell r="E15" t="str">
            <v>DĄBROWSKIEGO 8/25</v>
          </cell>
          <cell r="F15">
            <v>80022308568</v>
          </cell>
          <cell r="G15" t="str">
            <v>+48 606 324 912</v>
          </cell>
          <cell r="H15" t="str">
            <v>maxifafik@wp.pl</v>
          </cell>
          <cell r="I15" t="str">
            <v>Wiwiana Listkowska</v>
          </cell>
          <cell r="J15">
            <v>14</v>
          </cell>
          <cell r="K15" t="str">
            <v>Podstawowa</v>
          </cell>
          <cell r="L15">
            <v>7</v>
          </cell>
          <cell r="M15" t="str">
            <v>Język angielski</v>
          </cell>
          <cell r="N15" t="str">
            <v>Ósmoklasisty</v>
          </cell>
          <cell r="O15" t="str">
            <v>Tak (lub kolejny członek rodziny)</v>
          </cell>
          <cell r="P15">
            <v>1</v>
          </cell>
          <cell r="Q15" t="str">
            <v>033/2025</v>
          </cell>
          <cell r="R15" t="str">
            <v>N</v>
          </cell>
          <cell r="S15" t="str">
            <v>T</v>
          </cell>
          <cell r="T15">
            <v>15</v>
          </cell>
          <cell r="U15" t="str">
            <v>Z</v>
          </cell>
          <cell r="V15">
            <v>64</v>
          </cell>
          <cell r="W15" t="str">
            <v>wrzesień 2025</v>
          </cell>
          <cell r="X15" t="str">
            <v>maj 2026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>
            <v>14</v>
          </cell>
          <cell r="B16">
            <v>45841.308611111112</v>
          </cell>
          <cell r="C16" t="str">
            <v>Marek Klimik</v>
          </cell>
          <cell r="D16" t="str">
            <v>14-200 Iława</v>
          </cell>
          <cell r="E16" t="str">
            <v>Piastowska 6/38</v>
          </cell>
          <cell r="F16">
            <v>84122808335</v>
          </cell>
          <cell r="G16" t="str">
            <v>+48 609 038 850</v>
          </cell>
          <cell r="H16" t="str">
            <v>klimik.m@wp.pl</v>
          </cell>
          <cell r="I16" t="str">
            <v>Pola Klimik</v>
          </cell>
          <cell r="J16">
            <v>11</v>
          </cell>
          <cell r="K16" t="str">
            <v>Podstawowa</v>
          </cell>
          <cell r="L16">
            <v>4</v>
          </cell>
          <cell r="M16" t="str">
            <v>Język angielski</v>
          </cell>
          <cell r="N16">
            <v>0</v>
          </cell>
          <cell r="O16" t="str">
            <v>Tak (lub kolejny członek rodziny)</v>
          </cell>
          <cell r="P16">
            <v>1</v>
          </cell>
          <cell r="Q16" t="str">
            <v>016/2025</v>
          </cell>
          <cell r="R16" t="str">
            <v>N</v>
          </cell>
          <cell r="S16" t="str">
            <v>T</v>
          </cell>
          <cell r="T16">
            <v>5</v>
          </cell>
          <cell r="U16" t="str">
            <v>Ix1</v>
          </cell>
          <cell r="V16">
            <v>33</v>
          </cell>
          <cell r="W16" t="str">
            <v>wrzesień 2025</v>
          </cell>
          <cell r="X16" t="str">
            <v>maj 2026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>
            <v>15</v>
          </cell>
          <cell r="B17">
            <v>45841.351921296293</v>
          </cell>
          <cell r="C17" t="str">
            <v>AGNIESZKA SZYMAŃSKA</v>
          </cell>
          <cell r="D17" t="str">
            <v>14-200 Wikielec</v>
          </cell>
          <cell r="E17" t="str">
            <v>Jaworowa 20</v>
          </cell>
          <cell r="F17">
            <v>78010307909</v>
          </cell>
          <cell r="G17" t="str">
            <v>+48 664 431 480</v>
          </cell>
          <cell r="H17" t="str">
            <v>a.szymanska2@onet.pl</v>
          </cell>
          <cell r="I17" t="str">
            <v>IGOR SZYMAŃSKI</v>
          </cell>
          <cell r="J17">
            <v>16</v>
          </cell>
          <cell r="K17" t="str">
            <v>Średnia - technikum</v>
          </cell>
          <cell r="L17">
            <v>3</v>
          </cell>
          <cell r="M17" t="str">
            <v>Język angielski</v>
          </cell>
          <cell r="N17" t="str">
            <v>Maturalny</v>
          </cell>
          <cell r="O17" t="str">
            <v>Tak (lub kolejny członek rodziny)</v>
          </cell>
          <cell r="P17">
            <v>1</v>
          </cell>
          <cell r="Q17">
            <v>0</v>
          </cell>
          <cell r="R17" t="str">
            <v>N</v>
          </cell>
          <cell r="S17" t="str">
            <v>T</v>
          </cell>
          <cell r="T17">
            <v>15</v>
          </cell>
          <cell r="U17" t="str">
            <v>Z</v>
          </cell>
          <cell r="V17">
            <v>64</v>
          </cell>
          <cell r="W17" t="str">
            <v>wrzesień 2025</v>
          </cell>
          <cell r="X17" t="str">
            <v>maj 2026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>
            <v>16</v>
          </cell>
          <cell r="B18">
            <v>45841.401250000003</v>
          </cell>
          <cell r="C18" t="str">
            <v>Katarzyna Sobocińska</v>
          </cell>
          <cell r="D18" t="str">
            <v>14-200  Iława</v>
          </cell>
          <cell r="E18" t="str">
            <v>Gdańska 5b/20</v>
          </cell>
          <cell r="F18">
            <v>79020512428</v>
          </cell>
          <cell r="G18" t="str">
            <v>+48 668 409 446</v>
          </cell>
          <cell r="H18" t="str">
            <v>kasiaijaca@wp.pl</v>
          </cell>
          <cell r="I18" t="str">
            <v>Natalia Sobocińska</v>
          </cell>
          <cell r="J18">
            <v>16</v>
          </cell>
          <cell r="K18" t="str">
            <v>Średnia - technikum</v>
          </cell>
          <cell r="L18">
            <v>3</v>
          </cell>
          <cell r="M18" t="str">
            <v>Język angielski</v>
          </cell>
          <cell r="N18" t="str">
            <v>Maturalny</v>
          </cell>
          <cell r="O18" t="str">
            <v>Tak (lub kolejny członek rodziny)</v>
          </cell>
          <cell r="P18">
            <v>1</v>
          </cell>
          <cell r="Q18" t="str">
            <v>053</v>
          </cell>
          <cell r="R18" t="str">
            <v>N</v>
          </cell>
          <cell r="S18" t="str">
            <v>T</v>
          </cell>
          <cell r="T18">
            <v>15</v>
          </cell>
          <cell r="U18" t="str">
            <v>Z</v>
          </cell>
          <cell r="V18">
            <v>58</v>
          </cell>
          <cell r="W18" t="str">
            <v>wrzesień 2025</v>
          </cell>
          <cell r="X18" t="str">
            <v>maj 2026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>
            <v>17</v>
          </cell>
          <cell r="B19">
            <v>45841.444537037038</v>
          </cell>
          <cell r="C19" t="str">
            <v>Anna Nikczeńska</v>
          </cell>
          <cell r="D19" t="str">
            <v>14-200 Wikielec</v>
          </cell>
          <cell r="E19" t="str">
            <v>Wrzosowa 18</v>
          </cell>
          <cell r="F19">
            <v>76082709085</v>
          </cell>
          <cell r="G19" t="str">
            <v>+48 695 040 005</v>
          </cell>
          <cell r="H19" t="str">
            <v>ania.natka@op.pl</v>
          </cell>
          <cell r="I19" t="str">
            <v>Eryk Nikczeński</v>
          </cell>
          <cell r="J19">
            <v>16</v>
          </cell>
          <cell r="K19" t="str">
            <v>Średnia - liceum</v>
          </cell>
          <cell r="L19">
            <v>2</v>
          </cell>
          <cell r="M19" t="str">
            <v>Język angielski</v>
          </cell>
          <cell r="N19">
            <v>0</v>
          </cell>
          <cell r="O19" t="str">
            <v>Tak (lub kolejny członek rodziny)</v>
          </cell>
          <cell r="P19">
            <v>1</v>
          </cell>
          <cell r="Q19">
            <v>0</v>
          </cell>
          <cell r="R19" t="str">
            <v>N</v>
          </cell>
          <cell r="S19" t="str">
            <v>T</v>
          </cell>
          <cell r="T19">
            <v>15</v>
          </cell>
          <cell r="U19" t="str">
            <v>Z</v>
          </cell>
          <cell r="V19">
            <v>64</v>
          </cell>
          <cell r="W19" t="str">
            <v>sierpień 2025</v>
          </cell>
          <cell r="X19" t="str">
            <v>maj 2026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>
            <v>18</v>
          </cell>
          <cell r="B20">
            <v>45841.445150462961</v>
          </cell>
          <cell r="C20" t="str">
            <v>Wojciech Kożuchowski</v>
          </cell>
          <cell r="D20" t="str">
            <v>14-202 Ząbrowo</v>
          </cell>
          <cell r="E20" t="str">
            <v>Szkolna 15</v>
          </cell>
          <cell r="F20">
            <v>79063009992</v>
          </cell>
          <cell r="G20" t="str">
            <v>+48 600 022 234</v>
          </cell>
          <cell r="H20" t="str">
            <v>did0@wp.pl</v>
          </cell>
          <cell r="I20" t="str">
            <v>Liliana Kożuchowska</v>
          </cell>
          <cell r="J20">
            <v>16</v>
          </cell>
          <cell r="K20" t="str">
            <v>Średnia - liceum</v>
          </cell>
          <cell r="L20">
            <v>1</v>
          </cell>
          <cell r="M20" t="str">
            <v>Język angielski</v>
          </cell>
          <cell r="N20">
            <v>0</v>
          </cell>
          <cell r="O20" t="str">
            <v>Tak (lub kolejny członek rodziny)</v>
          </cell>
          <cell r="P20">
            <v>1</v>
          </cell>
          <cell r="Q20" t="str">
            <v>075/2025</v>
          </cell>
          <cell r="R20" t="str">
            <v>N</v>
          </cell>
          <cell r="S20" t="str">
            <v>T</v>
          </cell>
          <cell r="T20">
            <v>5</v>
          </cell>
          <cell r="U20" t="str">
            <v>Z</v>
          </cell>
          <cell r="V20">
            <v>64</v>
          </cell>
          <cell r="W20" t="str">
            <v>wrzesień 2025</v>
          </cell>
          <cell r="X20" t="str">
            <v>maj 2026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>
            <v>19</v>
          </cell>
          <cell r="B21">
            <v>45841.735185185185</v>
          </cell>
          <cell r="C21" t="str">
            <v>Emilia Piecuch</v>
          </cell>
          <cell r="D21" t="str">
            <v>14-200  Iława</v>
          </cell>
          <cell r="E21" t="str">
            <v>Jana Matejki 3e/2</v>
          </cell>
          <cell r="F21">
            <v>79022707408</v>
          </cell>
          <cell r="G21" t="str">
            <v>+48 789 328 376</v>
          </cell>
          <cell r="H21" t="str">
            <v>emiliapiecuch706@gmail.com</v>
          </cell>
          <cell r="I21" t="str">
            <v>Oskar Piecuch</v>
          </cell>
          <cell r="J21">
            <v>18</v>
          </cell>
          <cell r="K21" t="str">
            <v>Średnia - liceum</v>
          </cell>
          <cell r="L21">
            <v>3</v>
          </cell>
          <cell r="M21" t="str">
            <v>Język angielski</v>
          </cell>
          <cell r="N21">
            <v>0</v>
          </cell>
          <cell r="O21" t="str">
            <v>Tak (lub kolejny członek rodziny)</v>
          </cell>
          <cell r="P21">
            <v>1</v>
          </cell>
          <cell r="Q21" t="str">
            <v>014/2025</v>
          </cell>
          <cell r="R21" t="str">
            <v>N</v>
          </cell>
          <cell r="S21" t="str">
            <v>T</v>
          </cell>
          <cell r="T21">
            <v>5</v>
          </cell>
          <cell r="U21" t="str">
            <v>Z</v>
          </cell>
          <cell r="V21">
            <v>64</v>
          </cell>
          <cell r="W21" t="str">
            <v>wrzesień 2025</v>
          </cell>
          <cell r="X21" t="str">
            <v>maj 2026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>
            <v>20</v>
          </cell>
          <cell r="B22">
            <v>45841.861076388886</v>
          </cell>
          <cell r="C22" t="str">
            <v>Kamila Truszczyńska</v>
          </cell>
          <cell r="D22" t="str">
            <v>13-306 Kurzętnik</v>
          </cell>
          <cell r="E22" t="str">
            <v>Kopernika 12</v>
          </cell>
          <cell r="F22">
            <v>83071709281</v>
          </cell>
          <cell r="G22" t="str">
            <v>+48 604 922 512</v>
          </cell>
          <cell r="H22" t="str">
            <v>kamila.o@wp.pl</v>
          </cell>
          <cell r="I22" t="str">
            <v>Miłosz Truszczyński</v>
          </cell>
          <cell r="J22">
            <v>12</v>
          </cell>
          <cell r="K22" t="str">
            <v>Podstawowa</v>
          </cell>
          <cell r="L22">
            <v>5</v>
          </cell>
          <cell r="M22" t="str">
            <v>Język angielski</v>
          </cell>
          <cell r="N22">
            <v>0</v>
          </cell>
          <cell r="O22" t="str">
            <v>Tak (lub kolejny członek rodziny)</v>
          </cell>
          <cell r="P22">
            <v>2</v>
          </cell>
          <cell r="Q22" t="str">
            <v>040/2025</v>
          </cell>
          <cell r="R22" t="str">
            <v>N</v>
          </cell>
          <cell r="S22" t="str">
            <v>T</v>
          </cell>
          <cell r="T22">
            <v>15</v>
          </cell>
          <cell r="U22" t="str">
            <v>Z</v>
          </cell>
          <cell r="V22">
            <v>64</v>
          </cell>
          <cell r="W22" t="str">
            <v>wrzesień 2025</v>
          </cell>
          <cell r="X22" t="str">
            <v>czerwiec 2026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>
            <v>21</v>
          </cell>
          <cell r="B23">
            <v>45841.867152777777</v>
          </cell>
          <cell r="C23" t="str">
            <v>Kamila Truszczyńska</v>
          </cell>
          <cell r="D23" t="str">
            <v>13-306 Kurzętnik</v>
          </cell>
          <cell r="E23" t="str">
            <v>Kopernika 12</v>
          </cell>
          <cell r="F23">
            <v>83071709281</v>
          </cell>
          <cell r="G23" t="str">
            <v>+48 604 922 512</v>
          </cell>
          <cell r="H23" t="str">
            <v>kamila.o@wp.pl</v>
          </cell>
          <cell r="I23" t="str">
            <v>Milena Truszczyńska</v>
          </cell>
          <cell r="J23">
            <v>8</v>
          </cell>
          <cell r="K23" t="str">
            <v>Podstawowa</v>
          </cell>
          <cell r="L23">
            <v>1</v>
          </cell>
          <cell r="M23" t="str">
            <v>Język angielski</v>
          </cell>
          <cell r="N23">
            <v>0</v>
          </cell>
          <cell r="O23" t="str">
            <v>Tak (lub kolejny członek rodziny)</v>
          </cell>
          <cell r="P23">
            <v>2</v>
          </cell>
          <cell r="Q23">
            <v>0</v>
          </cell>
          <cell r="R23" t="str">
            <v>N</v>
          </cell>
          <cell r="S23" t="str">
            <v>T</v>
          </cell>
          <cell r="T23">
            <v>15</v>
          </cell>
          <cell r="U23" t="str">
            <v>Ix2</v>
          </cell>
          <cell r="V23">
            <v>64</v>
          </cell>
          <cell r="W23" t="str">
            <v>wrzesień 2025</v>
          </cell>
          <cell r="X23" t="str">
            <v>czerwiec 2026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>
            <v>22</v>
          </cell>
          <cell r="B24">
            <v>45845.42827546296</v>
          </cell>
          <cell r="C24" t="str">
            <v>Edyta Bylińska</v>
          </cell>
          <cell r="D24" t="str">
            <v>14-200 Wikielec</v>
          </cell>
          <cell r="E24" t="str">
            <v>Krokusowa 3</v>
          </cell>
          <cell r="F24">
            <v>73112907983</v>
          </cell>
          <cell r="G24" t="str">
            <v>+48 605 168 467</v>
          </cell>
          <cell r="H24" t="str">
            <v>edysia324@wp.pl</v>
          </cell>
          <cell r="I24" t="str">
            <v>Olivier Jaśkiewicz</v>
          </cell>
          <cell r="J24">
            <v>0</v>
          </cell>
          <cell r="K24">
            <v>0</v>
          </cell>
          <cell r="L24">
            <v>0</v>
          </cell>
          <cell r="M24" t="str">
            <v>Język angielski</v>
          </cell>
          <cell r="N24" t="str">
            <v>Maturalny</v>
          </cell>
          <cell r="O24" t="str">
            <v>Tak (lub kolejny członek rodziny)</v>
          </cell>
          <cell r="P24">
            <v>1</v>
          </cell>
          <cell r="Q24" t="str">
            <v>061/2025</v>
          </cell>
          <cell r="R24" t="str">
            <v>N</v>
          </cell>
          <cell r="S24" t="str">
            <v>T</v>
          </cell>
          <cell r="T24">
            <v>15</v>
          </cell>
          <cell r="U24" t="str">
            <v>Z</v>
          </cell>
          <cell r="V24">
            <v>64</v>
          </cell>
          <cell r="W24" t="str">
            <v>wrzesień 2025</v>
          </cell>
          <cell r="X24" t="str">
            <v>maj 2026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>
            <v>23</v>
          </cell>
          <cell r="B25">
            <v>45845.639467592591</v>
          </cell>
          <cell r="C25" t="str">
            <v>Marzena Szymańska</v>
          </cell>
          <cell r="D25" t="str">
            <v xml:space="preserve">14-260 Lubawa </v>
          </cell>
          <cell r="E25" t="str">
            <v>SAMPŁAWA 40</v>
          </cell>
          <cell r="F25">
            <v>11282801845</v>
          </cell>
          <cell r="G25" t="str">
            <v>+48 515 241 447</v>
          </cell>
          <cell r="H25" t="str">
            <v>marzena270609@wp.pl</v>
          </cell>
          <cell r="I25" t="str">
            <v>Milena Szymańska</v>
          </cell>
          <cell r="J25">
            <v>14</v>
          </cell>
          <cell r="K25" t="str">
            <v>Podstawowa</v>
          </cell>
          <cell r="L25">
            <v>8</v>
          </cell>
          <cell r="M25" t="str">
            <v>Język angielski</v>
          </cell>
          <cell r="N25" t="str">
            <v>Ósmoklasisty</v>
          </cell>
          <cell r="O25" t="str">
            <v>Tak (lub kolejny członek rodziny)</v>
          </cell>
          <cell r="P25">
            <v>1</v>
          </cell>
          <cell r="Q25" t="str">
            <v>002/2025</v>
          </cell>
          <cell r="R25" t="str">
            <v>N</v>
          </cell>
          <cell r="S25" t="str">
            <v>T</v>
          </cell>
          <cell r="T25">
            <v>15</v>
          </cell>
          <cell r="U25" t="str">
            <v>Z</v>
          </cell>
          <cell r="V25">
            <v>64</v>
          </cell>
          <cell r="W25" t="str">
            <v>wrzesień 2025</v>
          </cell>
          <cell r="X25" t="str">
            <v>maj 2026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>
            <v>24</v>
          </cell>
          <cell r="B26">
            <v>45845.719270833331</v>
          </cell>
          <cell r="C26" t="str">
            <v>Joanna Klimik</v>
          </cell>
          <cell r="D26" t="str">
            <v>14-200 Iława</v>
          </cell>
          <cell r="E26" t="str">
            <v>Kościuszki 5A/F13</v>
          </cell>
          <cell r="F26">
            <v>82080614928</v>
          </cell>
          <cell r="G26" t="str">
            <v>+48 510 990 460</v>
          </cell>
          <cell r="H26" t="str">
            <v>klimikjoanna@gmail.com</v>
          </cell>
          <cell r="I26" t="str">
            <v>Jakub Klimik</v>
          </cell>
          <cell r="J26">
            <v>16</v>
          </cell>
          <cell r="K26" t="str">
            <v>Średnia - liceum</v>
          </cell>
          <cell r="L26">
            <v>3</v>
          </cell>
          <cell r="M26" t="str">
            <v>Język angielski</v>
          </cell>
          <cell r="N26">
            <v>0</v>
          </cell>
          <cell r="O26" t="str">
            <v>Tak (lub kolejny członek rodziny)</v>
          </cell>
          <cell r="P26">
            <v>2</v>
          </cell>
          <cell r="Q26">
            <v>0</v>
          </cell>
          <cell r="R26" t="str">
            <v>N</v>
          </cell>
          <cell r="S26" t="str">
            <v>T</v>
          </cell>
          <cell r="T26">
            <v>15</v>
          </cell>
          <cell r="U26" t="str">
            <v>Z</v>
          </cell>
          <cell r="V26">
            <v>58</v>
          </cell>
          <cell r="W26" t="str">
            <v>wrzesień 2025</v>
          </cell>
          <cell r="X26" t="str">
            <v>czerwiec 2026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>
            <v>25</v>
          </cell>
          <cell r="B27">
            <v>45845.723101851851</v>
          </cell>
          <cell r="C27" t="str">
            <v>Joanna Klimik</v>
          </cell>
          <cell r="D27" t="str">
            <v>14-200 Iława</v>
          </cell>
          <cell r="E27" t="str">
            <v>Kościuszki 5A/F13</v>
          </cell>
          <cell r="F27">
            <v>82080614928</v>
          </cell>
          <cell r="G27" t="str">
            <v>+48 510 990 460</v>
          </cell>
          <cell r="H27" t="str">
            <v>klimikjoanna@gmail.com</v>
          </cell>
          <cell r="I27" t="str">
            <v>Tymoteusz Klimik</v>
          </cell>
          <cell r="J27">
            <v>12</v>
          </cell>
          <cell r="K27" t="str">
            <v>Podstawowa</v>
          </cell>
          <cell r="L27">
            <v>6</v>
          </cell>
          <cell r="M27" t="str">
            <v>Język angielski</v>
          </cell>
          <cell r="N27" t="str">
            <v>Ósmoklasisty</v>
          </cell>
          <cell r="O27" t="str">
            <v>Nie</v>
          </cell>
          <cell r="P27">
            <v>2</v>
          </cell>
          <cell r="Q27">
            <v>0</v>
          </cell>
          <cell r="R27" t="str">
            <v>N</v>
          </cell>
          <cell r="S27" t="str">
            <v>T</v>
          </cell>
          <cell r="T27">
            <v>15</v>
          </cell>
          <cell r="U27" t="str">
            <v>Z</v>
          </cell>
          <cell r="V27">
            <v>58</v>
          </cell>
          <cell r="W27" t="str">
            <v>wrzesień 2025</v>
          </cell>
          <cell r="X27" t="str">
            <v>czerwiec 2026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>
            <v>26</v>
          </cell>
          <cell r="B28">
            <v>45845.811990740738</v>
          </cell>
          <cell r="C28" t="str">
            <v>Magdalena Błaszkowska</v>
          </cell>
          <cell r="D28" t="str">
            <v>14-200 Iława</v>
          </cell>
          <cell r="E28" t="str">
            <v>Kościuszki 35A/28</v>
          </cell>
          <cell r="F28">
            <v>77110610582</v>
          </cell>
          <cell r="G28" t="str">
            <v>+48 502 174 080</v>
          </cell>
          <cell r="H28" t="str">
            <v>magblasz@interia.pl</v>
          </cell>
          <cell r="I28" t="str">
            <v>Marcel Błaszkowski</v>
          </cell>
          <cell r="J28">
            <v>17</v>
          </cell>
          <cell r="K28" t="str">
            <v>Średnia - liceum</v>
          </cell>
          <cell r="L28">
            <v>3</v>
          </cell>
          <cell r="M28" t="str">
            <v>Język angielski</v>
          </cell>
          <cell r="N28">
            <v>0</v>
          </cell>
          <cell r="O28" t="str">
            <v>Tak (lub kolejny członek rodziny)</v>
          </cell>
          <cell r="P28">
            <v>1</v>
          </cell>
          <cell r="Q28" t="str">
            <v>068/2025</v>
          </cell>
          <cell r="R28" t="str">
            <v>N</v>
          </cell>
          <cell r="S28" t="str">
            <v>T</v>
          </cell>
          <cell r="T28">
            <v>25</v>
          </cell>
          <cell r="U28" t="str">
            <v>Z</v>
          </cell>
          <cell r="V28">
            <v>64</v>
          </cell>
          <cell r="W28" t="str">
            <v>wrzesień 2025</v>
          </cell>
          <cell r="X28" t="str">
            <v>maj 2026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>
            <v>27</v>
          </cell>
          <cell r="B29">
            <v>45846.47179398148</v>
          </cell>
          <cell r="C29" t="str">
            <v>Beata Kuhnwald</v>
          </cell>
          <cell r="D29" t="str">
            <v xml:space="preserve">14-260 Lubawa </v>
          </cell>
          <cell r="E29" t="str">
            <v>Samplawa 57</v>
          </cell>
          <cell r="F29">
            <v>81020212666</v>
          </cell>
          <cell r="G29" t="str">
            <v>+48 698 028 045</v>
          </cell>
          <cell r="H29" t="str">
            <v>beatakuhnwald@gmail.com</v>
          </cell>
          <cell r="I29" t="str">
            <v>Julia Kuhnwald</v>
          </cell>
          <cell r="J29">
            <v>15</v>
          </cell>
          <cell r="K29" t="str">
            <v>Podstawowa</v>
          </cell>
          <cell r="L29">
            <v>8</v>
          </cell>
          <cell r="M29" t="str">
            <v>Język angielski</v>
          </cell>
          <cell r="N29" t="str">
            <v>Ósmoklasisty</v>
          </cell>
          <cell r="O29" t="str">
            <v>Tak (lub kolejny członek rodziny)</v>
          </cell>
          <cell r="P29">
            <v>2</v>
          </cell>
          <cell r="Q29" t="str">
            <v>001/2025</v>
          </cell>
          <cell r="R29" t="str">
            <v>N</v>
          </cell>
          <cell r="S29" t="str">
            <v>T</v>
          </cell>
          <cell r="T29">
            <v>15</v>
          </cell>
          <cell r="U29" t="str">
            <v>Z</v>
          </cell>
          <cell r="V29">
            <v>64</v>
          </cell>
          <cell r="W29" t="str">
            <v>wrzesień 2025</v>
          </cell>
          <cell r="X29" t="str">
            <v>maj 2026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>
            <v>28</v>
          </cell>
          <cell r="B30">
            <v>45848.910208333335</v>
          </cell>
          <cell r="C30" t="str">
            <v>Barbara Jastrzebska</v>
          </cell>
          <cell r="D30" t="str">
            <v xml:space="preserve">13-324 Mroczenko </v>
          </cell>
          <cell r="E30" t="str">
            <v xml:space="preserve">Mroczenko 37 </v>
          </cell>
          <cell r="F30">
            <v>71082412108</v>
          </cell>
          <cell r="G30" t="str">
            <v>+48 513 706 571</v>
          </cell>
          <cell r="H30" t="str">
            <v>jastrzebskabarbara09@gmail.com</v>
          </cell>
          <cell r="I30" t="str">
            <v>Klaudia Jastrzębska</v>
          </cell>
          <cell r="J30">
            <v>17</v>
          </cell>
          <cell r="K30" t="str">
            <v>Średnia - liceum</v>
          </cell>
          <cell r="L30">
            <v>3</v>
          </cell>
          <cell r="M30" t="str">
            <v>Język angielski</v>
          </cell>
          <cell r="N30" t="str">
            <v>Maturalny</v>
          </cell>
          <cell r="O30" t="str">
            <v>Tak (lub kolejny członek rodziny)</v>
          </cell>
          <cell r="P30">
            <v>1</v>
          </cell>
          <cell r="Q30" t="str">
            <v>045</v>
          </cell>
          <cell r="R30" t="str">
            <v>N</v>
          </cell>
          <cell r="S30" t="str">
            <v>T</v>
          </cell>
          <cell r="T30">
            <v>15</v>
          </cell>
          <cell r="U30" t="str">
            <v>Ix1</v>
          </cell>
          <cell r="V30">
            <v>33</v>
          </cell>
          <cell r="W30" t="str">
            <v>wrzesień 2025</v>
          </cell>
          <cell r="X30" t="str">
            <v>czerwiec 2026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A31">
            <v>29</v>
          </cell>
          <cell r="B31">
            <v>45849.574803240743</v>
          </cell>
          <cell r="C31" t="str">
            <v>Monika Nidzworska</v>
          </cell>
          <cell r="D31" t="str">
            <v>14-260 Lubawa</v>
          </cell>
          <cell r="E31" t="str">
            <v xml:space="preserve">Plac zamkowy 1 </v>
          </cell>
          <cell r="F31">
            <v>98070903789</v>
          </cell>
          <cell r="G31" t="str">
            <v>+48 500 222 926</v>
          </cell>
          <cell r="H31" t="str">
            <v>monikakazanice12@wp.pl</v>
          </cell>
          <cell r="I31" t="str">
            <v>Monika Nidzworska</v>
          </cell>
          <cell r="J31">
            <v>0</v>
          </cell>
          <cell r="K31">
            <v>0</v>
          </cell>
          <cell r="L31">
            <v>0</v>
          </cell>
          <cell r="M31" t="str">
            <v>Język angielski</v>
          </cell>
          <cell r="N31">
            <v>0</v>
          </cell>
          <cell r="O31" t="str">
            <v>Nie</v>
          </cell>
          <cell r="P31">
            <v>1</v>
          </cell>
          <cell r="Q31">
            <v>0</v>
          </cell>
          <cell r="R31" t="str">
            <v>N</v>
          </cell>
          <cell r="S31" t="str">
            <v>T</v>
          </cell>
          <cell r="T31">
            <v>15</v>
          </cell>
          <cell r="U31" t="str">
            <v>Ix3</v>
          </cell>
          <cell r="V31">
            <v>64</v>
          </cell>
          <cell r="W31" t="str">
            <v>wrzesień 2025</v>
          </cell>
          <cell r="X31" t="str">
            <v>sierpień 2026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>
            <v>30</v>
          </cell>
          <cell r="B32">
            <v>45849.769618055558</v>
          </cell>
          <cell r="C32" t="str">
            <v>Sylwia Adamska</v>
          </cell>
          <cell r="D32" t="str">
            <v>14-260 Lubawa</v>
          </cell>
          <cell r="E32" t="str">
            <v>Sampława 75</v>
          </cell>
          <cell r="F32">
            <v>91092700424</v>
          </cell>
          <cell r="G32" t="str">
            <v>+48 511 863 758</v>
          </cell>
          <cell r="H32" t="str">
            <v>sylwiacwiklinska4@wp.pl</v>
          </cell>
          <cell r="I32" t="str">
            <v>Zuzanna Adamska</v>
          </cell>
          <cell r="J32">
            <v>10</v>
          </cell>
          <cell r="K32" t="str">
            <v>Podstawowa</v>
          </cell>
          <cell r="L32">
            <v>4</v>
          </cell>
          <cell r="M32" t="str">
            <v>Język angielski</v>
          </cell>
          <cell r="N32">
            <v>0</v>
          </cell>
          <cell r="O32" t="str">
            <v>Tak (lub kolejny członek rodziny)</v>
          </cell>
          <cell r="P32">
            <v>1</v>
          </cell>
          <cell r="Q32" t="str">
            <v>036/2025</v>
          </cell>
          <cell r="R32" t="str">
            <v>N</v>
          </cell>
          <cell r="S32" t="str">
            <v>T</v>
          </cell>
          <cell r="T32">
            <v>25</v>
          </cell>
          <cell r="U32" t="str">
            <v>Ix3</v>
          </cell>
          <cell r="V32">
            <v>33</v>
          </cell>
          <cell r="W32" t="str">
            <v>wrzesień 2025</v>
          </cell>
          <cell r="X32" t="str">
            <v>czerwiec 2026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>
            <v>31</v>
          </cell>
          <cell r="B33">
            <v>45850.458715277775</v>
          </cell>
          <cell r="C33" t="str">
            <v>Milena Gogolew</v>
          </cell>
          <cell r="D33" t="str">
            <v xml:space="preserve">14-200  Iława </v>
          </cell>
          <cell r="E33" t="str">
            <v>Barlickiego 18</v>
          </cell>
          <cell r="F33">
            <v>84121806822</v>
          </cell>
          <cell r="G33" t="str">
            <v>+48 724 175 940</v>
          </cell>
          <cell r="H33" t="str">
            <v>milena.gogolew@wp.pl</v>
          </cell>
          <cell r="I33" t="str">
            <v>Natan Gogolew</v>
          </cell>
          <cell r="J33">
            <v>14</v>
          </cell>
          <cell r="K33" t="str">
            <v>Podstawowa</v>
          </cell>
          <cell r="L33">
            <v>8</v>
          </cell>
          <cell r="M33" t="str">
            <v>Język angielski</v>
          </cell>
          <cell r="N33" t="str">
            <v>Ósmoklasisty</v>
          </cell>
          <cell r="O33" t="str">
            <v>Tak (lub kolejny członek rodziny)</v>
          </cell>
          <cell r="P33">
            <v>1</v>
          </cell>
          <cell r="Q33" t="str">
            <v>008/2025</v>
          </cell>
          <cell r="R33" t="str">
            <v>N</v>
          </cell>
          <cell r="S33" t="str">
            <v>T</v>
          </cell>
          <cell r="T33">
            <v>15</v>
          </cell>
          <cell r="U33" t="str">
            <v>Z</v>
          </cell>
          <cell r="V33">
            <v>58</v>
          </cell>
          <cell r="W33" t="str">
            <v>wrzesień 2025</v>
          </cell>
          <cell r="X33" t="str">
            <v>maj 2026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>
            <v>32</v>
          </cell>
          <cell r="B34">
            <v>45852.480717592596</v>
          </cell>
          <cell r="C34" t="str">
            <v>Anna Gromek</v>
          </cell>
          <cell r="D34" t="str">
            <v xml:space="preserve">14-241  Ząbrowo </v>
          </cell>
          <cell r="E34" t="str">
            <v>Szkolna 3/2</v>
          </cell>
          <cell r="F34">
            <v>84010510023</v>
          </cell>
          <cell r="G34" t="str">
            <v>+48 798 678 131</v>
          </cell>
          <cell r="H34" t="str">
            <v>annaosowska10@wp.pl</v>
          </cell>
          <cell r="I34" t="str">
            <v>Nela Gromek</v>
          </cell>
          <cell r="J34">
            <v>16</v>
          </cell>
          <cell r="K34" t="str">
            <v>Średnia - liceum</v>
          </cell>
          <cell r="L34">
            <v>1</v>
          </cell>
          <cell r="M34" t="str">
            <v>Język angielski</v>
          </cell>
          <cell r="N34">
            <v>0</v>
          </cell>
          <cell r="O34" t="str">
            <v>Nie</v>
          </cell>
          <cell r="P34">
            <v>1</v>
          </cell>
          <cell r="Q34">
            <v>0</v>
          </cell>
          <cell r="R34" t="str">
            <v>N</v>
          </cell>
          <cell r="S34" t="str">
            <v>T</v>
          </cell>
          <cell r="T34">
            <v>15</v>
          </cell>
          <cell r="U34" t="str">
            <v>Z</v>
          </cell>
          <cell r="V34">
            <v>64</v>
          </cell>
          <cell r="W34" t="str">
            <v>wrzesień 2025</v>
          </cell>
          <cell r="X34" t="str">
            <v>maj 2026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>
            <v>33</v>
          </cell>
          <cell r="B35">
            <v>45853.851388888892</v>
          </cell>
          <cell r="C35" t="str">
            <v>Ewa Owierkowicz</v>
          </cell>
          <cell r="D35" t="str">
            <v xml:space="preserve">14-200  Iława </v>
          </cell>
          <cell r="E35" t="str">
            <v>Kościuszki 39/32</v>
          </cell>
          <cell r="F35">
            <v>74082807383</v>
          </cell>
          <cell r="G35" t="str">
            <v>+48 507 104 808</v>
          </cell>
          <cell r="H35" t="str">
            <v>ewaowier@o2.pl</v>
          </cell>
          <cell r="I35" t="str">
            <v>PIOTR KŁOSOWSKI</v>
          </cell>
          <cell r="J35">
            <v>13</v>
          </cell>
          <cell r="K35" t="str">
            <v>Podstawowa</v>
          </cell>
          <cell r="L35">
            <v>6</v>
          </cell>
          <cell r="M35" t="str">
            <v>Język angielski</v>
          </cell>
          <cell r="N35" t="str">
            <v>Ósmoklasisty</v>
          </cell>
          <cell r="O35" t="str">
            <v>Tak (lub kolejny członek rodziny)</v>
          </cell>
          <cell r="P35">
            <v>2</v>
          </cell>
          <cell r="Q35" t="str">
            <v>032/2025</v>
          </cell>
          <cell r="R35" t="str">
            <v>N</v>
          </cell>
          <cell r="S35" t="str">
            <v>T</v>
          </cell>
          <cell r="T35">
            <v>5</v>
          </cell>
          <cell r="U35" t="str">
            <v>Z</v>
          </cell>
          <cell r="V35">
            <v>58</v>
          </cell>
          <cell r="W35" t="str">
            <v>wrzesień 2025</v>
          </cell>
          <cell r="X35" t="str">
            <v>maj 2026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>
            <v>34</v>
          </cell>
          <cell r="B36">
            <v>45853.855023148149</v>
          </cell>
          <cell r="C36" t="str">
            <v>Ewa Owierkowicz</v>
          </cell>
          <cell r="D36" t="str">
            <v xml:space="preserve">14-200  Iława </v>
          </cell>
          <cell r="E36" t="str">
            <v xml:space="preserve">Kościuszki </v>
          </cell>
          <cell r="F36">
            <v>74082807383</v>
          </cell>
          <cell r="G36" t="str">
            <v>+48 507 104 808</v>
          </cell>
          <cell r="H36" t="str">
            <v>ewaowier@o2.pl</v>
          </cell>
          <cell r="I36" t="str">
            <v>MARIUSZ KŁOSOWSKI</v>
          </cell>
          <cell r="J36">
            <v>15</v>
          </cell>
          <cell r="K36" t="str">
            <v>Średnia - technikum</v>
          </cell>
          <cell r="L36">
            <v>1</v>
          </cell>
          <cell r="M36" t="str">
            <v>Język angielski</v>
          </cell>
          <cell r="N36" t="str">
            <v>Maturalny</v>
          </cell>
          <cell r="O36" t="str">
            <v>Tak (lub kolejny członek rodziny)</v>
          </cell>
          <cell r="P36">
            <v>2</v>
          </cell>
          <cell r="Q36" t="str">
            <v>013/2025</v>
          </cell>
          <cell r="R36" t="str">
            <v>N</v>
          </cell>
          <cell r="S36" t="str">
            <v>T</v>
          </cell>
          <cell r="T36">
            <v>5</v>
          </cell>
          <cell r="U36" t="str">
            <v>Z</v>
          </cell>
          <cell r="V36">
            <v>58</v>
          </cell>
          <cell r="W36" t="str">
            <v>wrzesień 2025</v>
          </cell>
          <cell r="X36" t="str">
            <v>maj 2026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>
            <v>35</v>
          </cell>
          <cell r="B37">
            <v>45854.30296296296</v>
          </cell>
          <cell r="C37" t="str">
            <v>Joanna Kanicz</v>
          </cell>
          <cell r="D37" t="str">
            <v>14-200 Iława</v>
          </cell>
          <cell r="E37" t="str">
            <v>Górna 1</v>
          </cell>
          <cell r="F37">
            <v>76031807826</v>
          </cell>
          <cell r="G37" t="str">
            <v>+48 509 188 615</v>
          </cell>
          <cell r="H37" t="str">
            <v>jkanicz@wp.pl</v>
          </cell>
          <cell r="I37" t="str">
            <v>Julia Kanicz</v>
          </cell>
          <cell r="J37">
            <v>18</v>
          </cell>
          <cell r="K37" t="str">
            <v>Średnia - liceum</v>
          </cell>
          <cell r="L37">
            <v>4</v>
          </cell>
          <cell r="M37" t="str">
            <v>Język angielski</v>
          </cell>
          <cell r="N37" t="str">
            <v>Maturalny</v>
          </cell>
          <cell r="O37" t="str">
            <v>Tak (lub kolejny członek rodziny)</v>
          </cell>
          <cell r="P37">
            <v>1</v>
          </cell>
          <cell r="Q37" t="str">
            <v>062/2025</v>
          </cell>
          <cell r="R37" t="str">
            <v>N</v>
          </cell>
          <cell r="S37" t="str">
            <v>T</v>
          </cell>
          <cell r="T37">
            <v>25</v>
          </cell>
          <cell r="U37" t="str">
            <v>Z</v>
          </cell>
          <cell r="V37">
            <v>58</v>
          </cell>
          <cell r="W37" t="str">
            <v>wrzesień 2025</v>
          </cell>
          <cell r="X37" t="str">
            <v>czerwiec 2026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>
            <v>36</v>
          </cell>
          <cell r="B38">
            <v>45854.778831018521</v>
          </cell>
          <cell r="C38" t="str">
            <v>Monika Czapska</v>
          </cell>
          <cell r="D38" t="str">
            <v>13-300 Mszanowo</v>
          </cell>
          <cell r="E38" t="str">
            <v>Piaskowa 10</v>
          </cell>
          <cell r="F38">
            <v>82042009007</v>
          </cell>
          <cell r="G38" t="str">
            <v>+48 668 502 724</v>
          </cell>
          <cell r="H38" t="str">
            <v>monzak15@wp.pl</v>
          </cell>
          <cell r="I38" t="str">
            <v>Filip Czapski</v>
          </cell>
          <cell r="J38">
            <v>14</v>
          </cell>
          <cell r="K38" t="str">
            <v>Podstawowa</v>
          </cell>
          <cell r="L38">
            <v>8</v>
          </cell>
          <cell r="M38" t="str">
            <v>Język angielski</v>
          </cell>
          <cell r="N38" t="str">
            <v>Ósmoklasisty</v>
          </cell>
          <cell r="O38" t="str">
            <v>Tak (lub kolejny członek rodziny)</v>
          </cell>
          <cell r="P38">
            <v>3</v>
          </cell>
          <cell r="Q38">
            <v>0</v>
          </cell>
          <cell r="R38" t="str">
            <v>N</v>
          </cell>
          <cell r="S38" t="str">
            <v>T</v>
          </cell>
          <cell r="T38">
            <v>15</v>
          </cell>
          <cell r="U38" t="str">
            <v>Ix1</v>
          </cell>
          <cell r="V38">
            <v>33</v>
          </cell>
          <cell r="W38" t="str">
            <v>wrzesień 2025</v>
          </cell>
          <cell r="X38" t="str">
            <v>maj 2026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>
            <v>37</v>
          </cell>
          <cell r="B39">
            <v>45854.780497685184</v>
          </cell>
          <cell r="C39" t="str">
            <v>Monika Czapska</v>
          </cell>
          <cell r="D39" t="str">
            <v>13-300 Mszanowo</v>
          </cell>
          <cell r="E39" t="str">
            <v>Piaskowa 10</v>
          </cell>
          <cell r="F39">
            <v>82042009007</v>
          </cell>
          <cell r="G39" t="str">
            <v>+48 668 502 724</v>
          </cell>
          <cell r="H39" t="str">
            <v>monzak15@wp.pl</v>
          </cell>
          <cell r="I39" t="str">
            <v>Filip Czapski</v>
          </cell>
          <cell r="J39">
            <v>14</v>
          </cell>
          <cell r="K39" t="str">
            <v>Podstawowa</v>
          </cell>
          <cell r="L39">
            <v>8</v>
          </cell>
          <cell r="M39" t="str">
            <v>Język polski</v>
          </cell>
          <cell r="N39" t="str">
            <v>Ósmoklasisty</v>
          </cell>
          <cell r="O39" t="str">
            <v>Tak (lub kolejny członek rodziny)</v>
          </cell>
          <cell r="P39">
            <v>3</v>
          </cell>
          <cell r="Q39">
            <v>0</v>
          </cell>
          <cell r="R39" t="str">
            <v>N</v>
          </cell>
          <cell r="S39" t="str">
            <v>T</v>
          </cell>
          <cell r="T39">
            <v>15</v>
          </cell>
          <cell r="U39" t="str">
            <v>Ix1</v>
          </cell>
          <cell r="V39">
            <v>33</v>
          </cell>
          <cell r="W39" t="str">
            <v>wrzesień 2025</v>
          </cell>
          <cell r="X39" t="str">
            <v>maj 2026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>
            <v>38</v>
          </cell>
          <cell r="B40">
            <v>45854.781701388885</v>
          </cell>
          <cell r="C40" t="str">
            <v>Monika Czapska</v>
          </cell>
          <cell r="D40" t="str">
            <v>13-300 Mszanowo</v>
          </cell>
          <cell r="E40" t="str">
            <v>Piaskowa 10</v>
          </cell>
          <cell r="F40">
            <v>82042009007</v>
          </cell>
          <cell r="G40" t="str">
            <v>+48 668 502 724</v>
          </cell>
          <cell r="H40" t="str">
            <v>monzak15@wp.pl</v>
          </cell>
          <cell r="I40" t="str">
            <v>Filip Czapski</v>
          </cell>
          <cell r="J40">
            <v>14</v>
          </cell>
          <cell r="K40" t="str">
            <v>Podstawowa</v>
          </cell>
          <cell r="L40">
            <v>8</v>
          </cell>
          <cell r="M40" t="str">
            <v>Matematyka</v>
          </cell>
          <cell r="N40" t="str">
            <v>Ósmoklasisty</v>
          </cell>
          <cell r="O40" t="str">
            <v>Tak (lub kolejny członek rodziny)</v>
          </cell>
          <cell r="P40">
            <v>3</v>
          </cell>
          <cell r="Q40">
            <v>0</v>
          </cell>
          <cell r="R40" t="str">
            <v>N</v>
          </cell>
          <cell r="S40" t="str">
            <v>T</v>
          </cell>
          <cell r="T40">
            <v>15</v>
          </cell>
          <cell r="U40" t="str">
            <v>Ix1</v>
          </cell>
          <cell r="V40">
            <v>33</v>
          </cell>
          <cell r="W40" t="str">
            <v>wrzesień 2025</v>
          </cell>
          <cell r="X40" t="str">
            <v>maj 2026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>
            <v>39</v>
          </cell>
          <cell r="B41">
            <v>45856.765625</v>
          </cell>
          <cell r="C41" t="str">
            <v>Hanna Gamalska</v>
          </cell>
          <cell r="D41" t="str">
            <v>14-200 Iława</v>
          </cell>
          <cell r="E41" t="str">
            <v>Kościuszki 13/1</v>
          </cell>
          <cell r="F41">
            <v>79070108800</v>
          </cell>
          <cell r="G41" t="str">
            <v>+48 791 521 882</v>
          </cell>
          <cell r="H41" t="str">
            <v>t.gamalski@gmail.com</v>
          </cell>
          <cell r="I41" t="str">
            <v>Mateusz Gamalski</v>
          </cell>
          <cell r="J41">
            <v>0</v>
          </cell>
          <cell r="K41">
            <v>0</v>
          </cell>
          <cell r="L41">
            <v>0</v>
          </cell>
          <cell r="M41" t="str">
            <v>Język angielski</v>
          </cell>
          <cell r="N41" t="str">
            <v>Maturalny</v>
          </cell>
          <cell r="O41" t="str">
            <v>Tak (lub kolejny członek rodziny)</v>
          </cell>
          <cell r="P41">
            <v>2</v>
          </cell>
          <cell r="Q41" t="str">
            <v>060/2025</v>
          </cell>
          <cell r="R41" t="str">
            <v>N</v>
          </cell>
          <cell r="S41" t="str">
            <v>T</v>
          </cell>
          <cell r="T41">
            <v>15</v>
          </cell>
          <cell r="U41" t="str">
            <v>Z</v>
          </cell>
          <cell r="V41">
            <v>64</v>
          </cell>
          <cell r="W41" t="str">
            <v>wrzesień 2025</v>
          </cell>
          <cell r="X41" t="str">
            <v>maj 2026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>
            <v>40</v>
          </cell>
          <cell r="B42">
            <v>45859.678506944445</v>
          </cell>
          <cell r="C42" t="str">
            <v>Julia Wasiak</v>
          </cell>
          <cell r="D42" t="str">
            <v>14-200 Stradomno</v>
          </cell>
          <cell r="E42" t="str">
            <v>Stradomno 20A</v>
          </cell>
          <cell r="F42">
            <v>7261102207</v>
          </cell>
          <cell r="G42" t="str">
            <v>+48 536 816 018</v>
          </cell>
          <cell r="H42" t="str">
            <v>julksonwasiak@gmail.com</v>
          </cell>
          <cell r="I42" t="str">
            <v>Julia Wasiak</v>
          </cell>
          <cell r="J42">
            <v>0</v>
          </cell>
          <cell r="K42">
            <v>0</v>
          </cell>
          <cell r="L42">
            <v>0</v>
          </cell>
          <cell r="M42" t="str">
            <v>Język angielski</v>
          </cell>
          <cell r="N42">
            <v>0</v>
          </cell>
          <cell r="O42" t="str">
            <v>Tak (lub kolejny członek rodziny)</v>
          </cell>
          <cell r="P42">
            <v>1</v>
          </cell>
          <cell r="Q42">
            <v>0</v>
          </cell>
          <cell r="R42" t="str">
            <v>N</v>
          </cell>
          <cell r="S42" t="str">
            <v>T</v>
          </cell>
          <cell r="T42">
            <v>15</v>
          </cell>
          <cell r="U42" t="str">
            <v>Ix1</v>
          </cell>
          <cell r="V42">
            <v>33</v>
          </cell>
          <cell r="W42" t="str">
            <v>wrzesień 2025</v>
          </cell>
          <cell r="X42" t="str">
            <v>czerwiec 2026</v>
          </cell>
          <cell r="Y42" t="str">
            <v>004/24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>
            <v>41</v>
          </cell>
          <cell r="B43">
            <v>45861.343356481484</v>
          </cell>
          <cell r="C43" t="str">
            <v>Agnieszka Małkiewicz</v>
          </cell>
          <cell r="D43" t="str">
            <v>87-313 Brzozie</v>
          </cell>
          <cell r="E43" t="str">
            <v>Wielki Głęboczek 4</v>
          </cell>
          <cell r="F43">
            <v>86092111644</v>
          </cell>
          <cell r="G43" t="str">
            <v>+48 505 313 331</v>
          </cell>
          <cell r="H43" t="str">
            <v>agnieszka-pokojska@wp.pl</v>
          </cell>
          <cell r="I43" t="str">
            <v>Anna Małkiewicz</v>
          </cell>
          <cell r="J43">
            <v>14</v>
          </cell>
          <cell r="K43" t="str">
            <v>Podstawowa</v>
          </cell>
          <cell r="L43">
            <v>7</v>
          </cell>
          <cell r="M43" t="str">
            <v>Język angielski</v>
          </cell>
          <cell r="N43" t="str">
            <v>Ósmoklasisty</v>
          </cell>
          <cell r="O43" t="str">
            <v>Tak (lub kolejny członek rodziny)</v>
          </cell>
          <cell r="P43">
            <v>2</v>
          </cell>
          <cell r="Q43" t="str">
            <v>044/2025</v>
          </cell>
          <cell r="R43" t="str">
            <v>N</v>
          </cell>
          <cell r="S43" t="str">
            <v>T</v>
          </cell>
          <cell r="T43">
            <v>15</v>
          </cell>
          <cell r="U43" t="str">
            <v>Z</v>
          </cell>
          <cell r="V43">
            <v>64</v>
          </cell>
          <cell r="W43" t="str">
            <v>wrzesień 2025</v>
          </cell>
          <cell r="X43" t="str">
            <v>maj 2026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>
            <v>42</v>
          </cell>
          <cell r="B44">
            <v>45861.364351851851</v>
          </cell>
          <cell r="C44" t="str">
            <v>Agnieszka Małkiewicz</v>
          </cell>
          <cell r="D44" t="str">
            <v>87-313 Brzozie</v>
          </cell>
          <cell r="E44" t="str">
            <v>Wielki Głęboczek 4</v>
          </cell>
          <cell r="F44">
            <v>86092111644</v>
          </cell>
          <cell r="G44" t="str">
            <v>+48 505 313 331</v>
          </cell>
          <cell r="H44" t="str">
            <v>agnieszka-pokojska@wp.pl</v>
          </cell>
          <cell r="I44" t="str">
            <v>Katarzyna Małkiewicz</v>
          </cell>
          <cell r="J44">
            <v>10</v>
          </cell>
          <cell r="K44" t="str">
            <v>Podstawowa</v>
          </cell>
          <cell r="L44">
            <v>3</v>
          </cell>
          <cell r="M44" t="str">
            <v>Język angielski</v>
          </cell>
          <cell r="N44">
            <v>0</v>
          </cell>
          <cell r="O44" t="str">
            <v>Nie</v>
          </cell>
          <cell r="P44">
            <v>2</v>
          </cell>
          <cell r="Q44">
            <v>0</v>
          </cell>
          <cell r="R44" t="str">
            <v>N</v>
          </cell>
          <cell r="S44" t="str">
            <v>T</v>
          </cell>
          <cell r="T44">
            <v>15</v>
          </cell>
          <cell r="U44" t="str">
            <v>Z</v>
          </cell>
          <cell r="V44">
            <v>64</v>
          </cell>
          <cell r="W44" t="str">
            <v>wrzesień 2025</v>
          </cell>
          <cell r="X44" t="str">
            <v>maj 2026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>
            <v>43</v>
          </cell>
          <cell r="B45">
            <v>45864.852719907409</v>
          </cell>
          <cell r="C45" t="str">
            <v>Hanna Gamalska</v>
          </cell>
          <cell r="D45" t="str">
            <v>14-200 Iława</v>
          </cell>
          <cell r="E45" t="str">
            <v>Kościuszki 13/1</v>
          </cell>
          <cell r="F45">
            <v>79070108800</v>
          </cell>
          <cell r="G45" t="str">
            <v>+48 791 521 882</v>
          </cell>
          <cell r="H45" t="str">
            <v>t.gamalski@gmail.com</v>
          </cell>
          <cell r="I45" t="str">
            <v>Dorota Gamalska</v>
          </cell>
          <cell r="J45">
            <v>17</v>
          </cell>
          <cell r="K45" t="str">
            <v>Średnia - liceum</v>
          </cell>
          <cell r="L45">
            <v>3</v>
          </cell>
          <cell r="M45" t="str">
            <v>Język angielski</v>
          </cell>
          <cell r="N45">
            <v>0</v>
          </cell>
          <cell r="O45" t="str">
            <v>Tak (lub kolejny członek rodziny)</v>
          </cell>
          <cell r="P45">
            <v>2</v>
          </cell>
          <cell r="Q45" t="str">
            <v>104/2025</v>
          </cell>
          <cell r="R45" t="str">
            <v>N</v>
          </cell>
          <cell r="S45" t="str">
            <v>T</v>
          </cell>
          <cell r="T45">
            <v>15</v>
          </cell>
          <cell r="U45" t="str">
            <v>Z</v>
          </cell>
          <cell r="V45">
            <v>64</v>
          </cell>
          <cell r="W45" t="str">
            <v>wrzesień 2025</v>
          </cell>
          <cell r="X45" t="str">
            <v>maj 2026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>
            <v>44</v>
          </cell>
          <cell r="B46">
            <v>45866.683611111112</v>
          </cell>
          <cell r="C46" t="str">
            <v>Kamila Kozłowska</v>
          </cell>
          <cell r="D46" t="str">
            <v>14-260 Lubawa</v>
          </cell>
          <cell r="E46" t="str">
            <v>Siostry Antoniny Schneider 1/26</v>
          </cell>
          <cell r="F46">
            <v>85071114304</v>
          </cell>
          <cell r="G46" t="str">
            <v>+48 696 465 902</v>
          </cell>
          <cell r="H46" t="str">
            <v>kozlowska.kamila.maria@gmail.com</v>
          </cell>
          <cell r="I46" t="str">
            <v>Alan Fabisiak</v>
          </cell>
          <cell r="J46">
            <v>11</v>
          </cell>
          <cell r="K46" t="str">
            <v>Podstawowa</v>
          </cell>
          <cell r="L46">
            <v>4</v>
          </cell>
          <cell r="M46" t="str">
            <v>Język angielski</v>
          </cell>
          <cell r="N46">
            <v>0</v>
          </cell>
          <cell r="O46" t="str">
            <v>Nie</v>
          </cell>
          <cell r="P46">
            <v>1</v>
          </cell>
          <cell r="Q46">
            <v>0</v>
          </cell>
          <cell r="R46" t="str">
            <v>N</v>
          </cell>
          <cell r="S46" t="str">
            <v>T</v>
          </cell>
          <cell r="T46">
            <v>5</v>
          </cell>
          <cell r="U46" t="str">
            <v>Z</v>
          </cell>
          <cell r="V46">
            <v>64</v>
          </cell>
          <cell r="W46" t="str">
            <v>wrzesień 2025</v>
          </cell>
          <cell r="X46" t="str">
            <v>maj 2026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>
            <v>45</v>
          </cell>
          <cell r="B47">
            <v>45866.7891087963</v>
          </cell>
          <cell r="C47" t="str">
            <v>Magdalena Smoczyńska</v>
          </cell>
          <cell r="D47" t="str">
            <v xml:space="preserve">14-200 Iława </v>
          </cell>
          <cell r="E47" t="str">
            <v>Skarszewo 56/1</v>
          </cell>
          <cell r="F47">
            <v>90042811027</v>
          </cell>
          <cell r="G47" t="str">
            <v>+48 533 946 324</v>
          </cell>
          <cell r="H47" t="str">
            <v>smoczynskam1@gmail.com</v>
          </cell>
          <cell r="I47" t="str">
            <v>Weronika Smoczyńska</v>
          </cell>
          <cell r="J47">
            <v>15</v>
          </cell>
          <cell r="K47" t="str">
            <v>Podstawowa</v>
          </cell>
          <cell r="L47">
            <v>8</v>
          </cell>
          <cell r="M47" t="str">
            <v>Język angielski</v>
          </cell>
          <cell r="N47" t="str">
            <v>Ósmoklasisty</v>
          </cell>
          <cell r="O47" t="str">
            <v>Tak (lub kolejny członek rodziny)</v>
          </cell>
          <cell r="P47">
            <v>2</v>
          </cell>
          <cell r="Q47" t="str">
            <v>011/2025</v>
          </cell>
          <cell r="R47" t="str">
            <v>N</v>
          </cell>
          <cell r="S47" t="str">
            <v>T</v>
          </cell>
          <cell r="T47">
            <v>5</v>
          </cell>
          <cell r="U47" t="str">
            <v>Z</v>
          </cell>
          <cell r="V47">
            <v>64</v>
          </cell>
          <cell r="W47" t="str">
            <v>październik 2025</v>
          </cell>
          <cell r="X47" t="str">
            <v>maj 2026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>
            <v>46</v>
          </cell>
          <cell r="B48">
            <v>45866.792754629627</v>
          </cell>
          <cell r="C48" t="str">
            <v>Magdalena Smoczyńska</v>
          </cell>
          <cell r="D48" t="str">
            <v xml:space="preserve">14-200 Iława </v>
          </cell>
          <cell r="E48" t="str">
            <v>Skarszewo 56/1</v>
          </cell>
          <cell r="F48">
            <v>90042811027</v>
          </cell>
          <cell r="G48" t="str">
            <v>+48 533 946 324</v>
          </cell>
          <cell r="H48" t="str">
            <v>smoczynskam1@gmail.com</v>
          </cell>
          <cell r="I48" t="str">
            <v>Weronika Smoczyńska</v>
          </cell>
          <cell r="J48">
            <v>15</v>
          </cell>
          <cell r="K48" t="str">
            <v>Podstawowa</v>
          </cell>
          <cell r="L48">
            <v>8</v>
          </cell>
          <cell r="M48" t="str">
            <v>Matematyka</v>
          </cell>
          <cell r="N48" t="str">
            <v>Ósmoklasisty</v>
          </cell>
          <cell r="O48" t="str">
            <v>Tak (lub kolejny członek rodziny)</v>
          </cell>
          <cell r="P48">
            <v>2</v>
          </cell>
          <cell r="Q48" t="str">
            <v>011/2025</v>
          </cell>
          <cell r="R48" t="str">
            <v>N</v>
          </cell>
          <cell r="S48" t="str">
            <v>T</v>
          </cell>
          <cell r="T48">
            <v>5</v>
          </cell>
          <cell r="U48" t="str">
            <v>Ix3</v>
          </cell>
          <cell r="V48">
            <v>64</v>
          </cell>
          <cell r="W48" t="str">
            <v>październik 2025</v>
          </cell>
          <cell r="X48" t="str">
            <v>maj 2026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>
            <v>47</v>
          </cell>
          <cell r="B49">
            <v>45866.904733796298</v>
          </cell>
          <cell r="C49" t="str">
            <v>Anna Warmińska</v>
          </cell>
          <cell r="D49" t="str">
            <v>87-313 Brzozie</v>
          </cell>
          <cell r="E49" t="str">
            <v>Brzozie 169</v>
          </cell>
          <cell r="F49">
            <v>85121310302</v>
          </cell>
          <cell r="G49" t="str">
            <v>+48 503 054 169</v>
          </cell>
          <cell r="H49" t="str">
            <v>aniaanna1@o2.pl</v>
          </cell>
          <cell r="I49" t="str">
            <v>Julia Warmińska</v>
          </cell>
          <cell r="J49">
            <v>14</v>
          </cell>
          <cell r="K49" t="str">
            <v>Podstawowa</v>
          </cell>
          <cell r="L49">
            <v>7</v>
          </cell>
          <cell r="M49" t="str">
            <v>Język angielski</v>
          </cell>
          <cell r="N49" t="str">
            <v>Ósmoklasisty</v>
          </cell>
          <cell r="O49" t="str">
            <v>Tak (lub kolejny członek rodziny)</v>
          </cell>
          <cell r="P49">
            <v>2</v>
          </cell>
          <cell r="Q49" t="str">
            <v>042/2025</v>
          </cell>
          <cell r="R49" t="str">
            <v>N</v>
          </cell>
          <cell r="S49" t="str">
            <v>T</v>
          </cell>
          <cell r="T49">
            <v>5</v>
          </cell>
          <cell r="U49" t="str">
            <v>Z</v>
          </cell>
          <cell r="V49">
            <v>64</v>
          </cell>
          <cell r="W49" t="str">
            <v>październik 2025</v>
          </cell>
          <cell r="X49" t="str">
            <v>maj 2026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>
            <v>48</v>
          </cell>
          <cell r="B50">
            <v>45867.365613425929</v>
          </cell>
          <cell r="C50" t="str">
            <v>Marek Lubieniecki</v>
          </cell>
          <cell r="D50" t="str">
            <v xml:space="preserve">13-300 Pacółtowo </v>
          </cell>
          <cell r="E50" t="str">
            <v>Kolorowa 17</v>
          </cell>
          <cell r="F50">
            <v>84110213059</v>
          </cell>
          <cell r="G50" t="str">
            <v>+48 510 990 993</v>
          </cell>
          <cell r="H50" t="str">
            <v>marko23237@wp.pl</v>
          </cell>
          <cell r="I50" t="str">
            <v>Anna Lubieniecka</v>
          </cell>
          <cell r="J50">
            <v>12</v>
          </cell>
          <cell r="K50" t="str">
            <v>Podstawowa</v>
          </cell>
          <cell r="L50">
            <v>5</v>
          </cell>
          <cell r="M50" t="str">
            <v>Język angielski</v>
          </cell>
          <cell r="N50">
            <v>0</v>
          </cell>
          <cell r="O50" t="str">
            <v>Tak (lub kolejny członek rodziny)</v>
          </cell>
          <cell r="P50">
            <v>1</v>
          </cell>
          <cell r="Q50" t="str">
            <v>039/2025</v>
          </cell>
          <cell r="R50" t="str">
            <v>N</v>
          </cell>
          <cell r="S50" t="str">
            <v>T</v>
          </cell>
          <cell r="T50">
            <v>15</v>
          </cell>
          <cell r="U50" t="str">
            <v>Z</v>
          </cell>
          <cell r="V50">
            <v>64</v>
          </cell>
          <cell r="W50" t="str">
            <v>wrzesień 2025</v>
          </cell>
          <cell r="X50" t="str">
            <v>maj 2026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>
            <v>49</v>
          </cell>
          <cell r="B51">
            <v>45867.768784722219</v>
          </cell>
          <cell r="C51" t="str">
            <v>Patrycja Krawczyk</v>
          </cell>
          <cell r="D51" t="str">
            <v>13-300 nowe Miasto lubawskie</v>
          </cell>
          <cell r="E51" t="str">
            <v>Narutowicza 56F</v>
          </cell>
          <cell r="F51">
            <v>85010611646</v>
          </cell>
          <cell r="G51" t="str">
            <v>+48 509 961 968</v>
          </cell>
          <cell r="H51" t="str">
            <v>bodek80@onet.eu</v>
          </cell>
          <cell r="I51" t="str">
            <v>Jakub Krawczyk</v>
          </cell>
          <cell r="J51">
            <v>15</v>
          </cell>
          <cell r="K51" t="str">
            <v>Podstawowa</v>
          </cell>
          <cell r="L51">
            <v>8</v>
          </cell>
          <cell r="M51" t="str">
            <v>Język angielski</v>
          </cell>
          <cell r="N51" t="str">
            <v>Ósmoklasisty</v>
          </cell>
          <cell r="O51" t="str">
            <v>Nie</v>
          </cell>
          <cell r="P51">
            <v>2</v>
          </cell>
          <cell r="Q51">
            <v>0</v>
          </cell>
          <cell r="R51" t="str">
            <v>N</v>
          </cell>
          <cell r="S51" t="str">
            <v>T</v>
          </cell>
          <cell r="T51">
            <v>15</v>
          </cell>
          <cell r="U51" t="str">
            <v>Z</v>
          </cell>
          <cell r="V51">
            <v>64</v>
          </cell>
          <cell r="W51" t="str">
            <v>wrzesień 2025</v>
          </cell>
          <cell r="X51" t="str">
            <v>kwiecień 2026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>
            <v>50</v>
          </cell>
          <cell r="B52">
            <v>45868.821666666663</v>
          </cell>
          <cell r="C52" t="str">
            <v>KINGA ZIELIŃSKA</v>
          </cell>
          <cell r="D52" t="str">
            <v>14-260 Lubawa</v>
          </cell>
          <cell r="E52" t="str">
            <v>Sampława 38</v>
          </cell>
          <cell r="F52">
            <v>87060211340</v>
          </cell>
          <cell r="G52" t="str">
            <v>+48 513 875 594</v>
          </cell>
          <cell r="H52" t="str">
            <v>kzielinska46@wp.pl</v>
          </cell>
          <cell r="I52" t="str">
            <v>AGATA ZIELIŃSKA</v>
          </cell>
          <cell r="J52">
            <v>15</v>
          </cell>
          <cell r="K52" t="str">
            <v>Podstawowa</v>
          </cell>
          <cell r="L52">
            <v>8</v>
          </cell>
          <cell r="M52" t="str">
            <v>Język angielski</v>
          </cell>
          <cell r="N52" t="str">
            <v>Ósmoklasisty</v>
          </cell>
          <cell r="O52" t="str">
            <v>Tak (lub kolejny członek rodziny)</v>
          </cell>
          <cell r="P52">
            <v>1</v>
          </cell>
          <cell r="Q52">
            <v>0</v>
          </cell>
          <cell r="R52" t="str">
            <v>N</v>
          </cell>
          <cell r="S52" t="str">
            <v>T</v>
          </cell>
          <cell r="T52">
            <v>25</v>
          </cell>
          <cell r="U52" t="str">
            <v>Z</v>
          </cell>
          <cell r="V52">
            <v>64</v>
          </cell>
          <cell r="W52" t="str">
            <v>wrzesień 2025</v>
          </cell>
          <cell r="X52" t="str">
            <v>maj 2026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>
            <v>51</v>
          </cell>
          <cell r="B53">
            <v>45868.875590277778</v>
          </cell>
          <cell r="C53" t="str">
            <v>Maksymilian Wilary</v>
          </cell>
          <cell r="D53" t="str">
            <v>14-200 Iława</v>
          </cell>
          <cell r="E53" t="str">
            <v>Kazimierza Odnowiciela 8</v>
          </cell>
          <cell r="F53" t="str">
            <v>07220701557</v>
          </cell>
          <cell r="G53" t="str">
            <v>+48 733 236 057</v>
          </cell>
          <cell r="H53" t="str">
            <v>maksymilian5802@gmail.com</v>
          </cell>
          <cell r="I53" t="str">
            <v>Maksymilian Wilary</v>
          </cell>
          <cell r="J53">
            <v>0</v>
          </cell>
          <cell r="K53">
            <v>0</v>
          </cell>
          <cell r="L53">
            <v>0</v>
          </cell>
          <cell r="M53" t="str">
            <v>Język angielski</v>
          </cell>
          <cell r="N53" t="str">
            <v>Maturalny</v>
          </cell>
          <cell r="O53" t="str">
            <v>Tak (lub kolejny członek rodziny)</v>
          </cell>
          <cell r="P53">
            <v>1</v>
          </cell>
          <cell r="Q53" t="str">
            <v>073/2025</v>
          </cell>
          <cell r="R53" t="str">
            <v>N</v>
          </cell>
          <cell r="S53" t="str">
            <v>T</v>
          </cell>
          <cell r="T53">
            <v>15</v>
          </cell>
          <cell r="U53" t="str">
            <v>Z</v>
          </cell>
          <cell r="V53">
            <v>58</v>
          </cell>
          <cell r="W53" t="str">
            <v>wrzesień 2025</v>
          </cell>
          <cell r="X53" t="str">
            <v>maj 2026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>
            <v>52</v>
          </cell>
          <cell r="B54">
            <v>45873.402245370373</v>
          </cell>
          <cell r="C54" t="str">
            <v>Alina Wróblewska</v>
          </cell>
          <cell r="D54" t="str">
            <v xml:space="preserve">14-200  IŁAWA </v>
          </cell>
          <cell r="E54" t="str">
            <v>Odnowiciela 2/16</v>
          </cell>
          <cell r="F54">
            <v>86013105844</v>
          </cell>
          <cell r="G54" t="str">
            <v>+48 608 729 479</v>
          </cell>
          <cell r="H54" t="str">
            <v>alinakb@wp.pl</v>
          </cell>
          <cell r="I54" t="str">
            <v>Mateusz Bajor</v>
          </cell>
          <cell r="J54">
            <v>18</v>
          </cell>
          <cell r="K54" t="str">
            <v>Średnia - liceum</v>
          </cell>
          <cell r="L54">
            <v>4</v>
          </cell>
          <cell r="M54" t="str">
            <v>Język angielski</v>
          </cell>
          <cell r="N54">
            <v>0</v>
          </cell>
          <cell r="O54" t="str">
            <v>Tak (lub kolejny członek rodziny)</v>
          </cell>
          <cell r="P54">
            <v>1</v>
          </cell>
          <cell r="Q54">
            <v>0</v>
          </cell>
          <cell r="R54" t="str">
            <v>N</v>
          </cell>
          <cell r="S54" t="str">
            <v>N</v>
          </cell>
          <cell r="T54">
            <v>5</v>
          </cell>
          <cell r="U54" t="str">
            <v>Ix1</v>
          </cell>
          <cell r="V54">
            <v>33</v>
          </cell>
          <cell r="W54" t="str">
            <v>wrzesień 2025</v>
          </cell>
          <cell r="X54" t="str">
            <v>czerwiec 2026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>
            <v>53</v>
          </cell>
          <cell r="B55">
            <v>45873.440497685187</v>
          </cell>
          <cell r="C55" t="str">
            <v>Monika Szefler</v>
          </cell>
          <cell r="D55" t="str">
            <v xml:space="preserve">14-200  Iława </v>
          </cell>
          <cell r="E55" t="str">
            <v>Szałkowo 102</v>
          </cell>
          <cell r="F55">
            <v>85050407380</v>
          </cell>
          <cell r="G55" t="str">
            <v>+48 694 210 431</v>
          </cell>
          <cell r="H55" t="str">
            <v>monia8505@wp.pl</v>
          </cell>
          <cell r="I55" t="str">
            <v>Hubert Szefler</v>
          </cell>
          <cell r="J55">
            <v>15</v>
          </cell>
          <cell r="K55" t="str">
            <v>Podstawowa</v>
          </cell>
          <cell r="L55">
            <v>8</v>
          </cell>
          <cell r="M55" t="str">
            <v>Język angielski</v>
          </cell>
          <cell r="N55" t="str">
            <v>Ósmoklasisty</v>
          </cell>
          <cell r="O55" t="str">
            <v>Tak (lub kolejny członek rodziny)</v>
          </cell>
          <cell r="P55">
            <v>1</v>
          </cell>
          <cell r="Q55" t="str">
            <v>009/2025</v>
          </cell>
          <cell r="R55" t="str">
            <v>N</v>
          </cell>
          <cell r="S55" t="str">
            <v>N</v>
          </cell>
          <cell r="T55">
            <v>5</v>
          </cell>
          <cell r="U55" t="str">
            <v>Ix3</v>
          </cell>
          <cell r="V55">
            <v>33</v>
          </cell>
          <cell r="W55" t="str">
            <v>wrzesień 2025</v>
          </cell>
          <cell r="X55" t="str">
            <v>czerwiec 2026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>
            <v>54</v>
          </cell>
          <cell r="B56">
            <v>45873.94908564815</v>
          </cell>
          <cell r="C56" t="str">
            <v>Alina Witkowska-Tatarek</v>
          </cell>
          <cell r="D56" t="str">
            <v>13-220 Rybno</v>
          </cell>
          <cell r="E56" t="str">
            <v>Lubawska, 45</v>
          </cell>
          <cell r="F56">
            <v>82021214169</v>
          </cell>
          <cell r="G56" t="str">
            <v>+48 691 798 987</v>
          </cell>
          <cell r="H56" t="str">
            <v>alina.wit@interia.pl</v>
          </cell>
          <cell r="I56" t="str">
            <v>Antonina Tatarek</v>
          </cell>
          <cell r="J56">
            <v>18</v>
          </cell>
          <cell r="K56" t="str">
            <v>Średnia - liceum</v>
          </cell>
          <cell r="L56">
            <v>4</v>
          </cell>
          <cell r="M56" t="str">
            <v>Matematyka</v>
          </cell>
          <cell r="N56" t="str">
            <v>Maturalny</v>
          </cell>
          <cell r="O56" t="str">
            <v>Tak (lub kolejny członek rodziny)</v>
          </cell>
          <cell r="P56">
            <v>4</v>
          </cell>
          <cell r="Q56" t="str">
            <v>2025/006</v>
          </cell>
          <cell r="R56" t="str">
            <v>N</v>
          </cell>
          <cell r="S56" t="str">
            <v>N</v>
          </cell>
          <cell r="T56">
            <v>15</v>
          </cell>
          <cell r="U56" t="str">
            <v>Ix3</v>
          </cell>
          <cell r="V56">
            <v>33</v>
          </cell>
          <cell r="W56" t="str">
            <v>wrzesień 2025</v>
          </cell>
          <cell r="X56" t="str">
            <v>maj 2026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>
            <v>55</v>
          </cell>
          <cell r="B57">
            <v>45873.952673611115</v>
          </cell>
          <cell r="C57" t="str">
            <v>Alina Witkowska-Tatarek</v>
          </cell>
          <cell r="D57" t="str">
            <v>13-220 Rybno</v>
          </cell>
          <cell r="E57" t="str">
            <v>Lubawska, 45</v>
          </cell>
          <cell r="F57">
            <v>82021214169</v>
          </cell>
          <cell r="G57" t="str">
            <v>+48 691 798 987</v>
          </cell>
          <cell r="H57" t="str">
            <v>alina.wit@interia.pl</v>
          </cell>
          <cell r="I57" t="str">
            <v>Antonina Tatarek</v>
          </cell>
          <cell r="J57">
            <v>18</v>
          </cell>
          <cell r="K57" t="str">
            <v>Średnia - liceum</v>
          </cell>
          <cell r="L57">
            <v>4</v>
          </cell>
          <cell r="M57" t="str">
            <v>Język angielski</v>
          </cell>
          <cell r="N57" t="str">
            <v>Maturalny</v>
          </cell>
          <cell r="O57" t="str">
            <v>Tak (lub kolejny członek rodziny)</v>
          </cell>
          <cell r="P57">
            <v>4</v>
          </cell>
          <cell r="Q57" t="str">
            <v>2025/006</v>
          </cell>
          <cell r="R57" t="str">
            <v>N</v>
          </cell>
          <cell r="S57" t="str">
            <v>N</v>
          </cell>
          <cell r="T57">
            <v>15</v>
          </cell>
          <cell r="U57" t="str">
            <v>Ix3</v>
          </cell>
          <cell r="V57">
            <v>33</v>
          </cell>
          <cell r="W57" t="str">
            <v>wrzesień 2025</v>
          </cell>
          <cell r="X57" t="str">
            <v>maj 2026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>
            <v>56</v>
          </cell>
          <cell r="B58">
            <v>45873.956307870372</v>
          </cell>
          <cell r="C58" t="str">
            <v>Alina Witkowska-Tatarek</v>
          </cell>
          <cell r="D58" t="str">
            <v>13-220 Rybno</v>
          </cell>
          <cell r="E58" t="str">
            <v>Lubawska, 45</v>
          </cell>
          <cell r="F58">
            <v>82021214169</v>
          </cell>
          <cell r="G58" t="str">
            <v>+48 691 798 987</v>
          </cell>
          <cell r="H58" t="str">
            <v>alina.wit@interia.pl</v>
          </cell>
          <cell r="I58" t="str">
            <v>Małgorzata Tatarek</v>
          </cell>
          <cell r="J58">
            <v>15</v>
          </cell>
          <cell r="K58" t="str">
            <v>Średnia - liceum</v>
          </cell>
          <cell r="L58">
            <v>2</v>
          </cell>
          <cell r="M58" t="str">
            <v>Język angielski</v>
          </cell>
          <cell r="N58">
            <v>0</v>
          </cell>
          <cell r="O58" t="str">
            <v>Tak (lub kolejny członek rodziny)</v>
          </cell>
          <cell r="P58">
            <v>4</v>
          </cell>
          <cell r="Q58" t="str">
            <v>026/2025</v>
          </cell>
          <cell r="R58" t="str">
            <v>N</v>
          </cell>
          <cell r="S58" t="str">
            <v>N</v>
          </cell>
          <cell r="T58">
            <v>15</v>
          </cell>
          <cell r="U58" t="str">
            <v>Ix3</v>
          </cell>
          <cell r="V58">
            <v>33</v>
          </cell>
          <cell r="W58" t="str">
            <v>wrzesień 2025</v>
          </cell>
          <cell r="X58" t="str">
            <v>maj 2026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>
            <v>57</v>
          </cell>
          <cell r="B59">
            <v>45873.959409722222</v>
          </cell>
          <cell r="C59" t="str">
            <v>Alina Witkowska-Tatarek</v>
          </cell>
          <cell r="D59" t="str">
            <v>13-220 Rybno</v>
          </cell>
          <cell r="E59" t="str">
            <v>Lubawska, 45</v>
          </cell>
          <cell r="F59">
            <v>82021214169</v>
          </cell>
          <cell r="G59" t="str">
            <v>+48 789 889 095</v>
          </cell>
          <cell r="H59" t="str">
            <v>alina.wit@interia.pl</v>
          </cell>
          <cell r="I59" t="str">
            <v>Małgorzata Tatarek</v>
          </cell>
          <cell r="J59">
            <v>15</v>
          </cell>
          <cell r="K59" t="str">
            <v>Średnia - liceum</v>
          </cell>
          <cell r="L59">
            <v>2</v>
          </cell>
          <cell r="M59" t="str">
            <v>Matematyka</v>
          </cell>
          <cell r="N59">
            <v>0</v>
          </cell>
          <cell r="O59" t="str">
            <v>Tak (lub kolejny członek rodziny)</v>
          </cell>
          <cell r="P59">
            <v>4</v>
          </cell>
          <cell r="Q59" t="str">
            <v>026/2025</v>
          </cell>
          <cell r="R59" t="str">
            <v>N</v>
          </cell>
          <cell r="S59" t="str">
            <v>N</v>
          </cell>
          <cell r="T59">
            <v>15</v>
          </cell>
          <cell r="U59" t="str">
            <v>Ix3</v>
          </cell>
          <cell r="V59">
            <v>33</v>
          </cell>
          <cell r="W59" t="str">
            <v>wrzesień 2025</v>
          </cell>
          <cell r="X59" t="str">
            <v>maj 2026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>
            <v>58</v>
          </cell>
          <cell r="B60">
            <v>45875.708194444444</v>
          </cell>
          <cell r="C60" t="str">
            <v>Marta Kuźniewska</v>
          </cell>
          <cell r="D60" t="str">
            <v>14-200 Iława</v>
          </cell>
          <cell r="E60" t="str">
            <v>Dobrawy 21a</v>
          </cell>
          <cell r="F60">
            <v>78012609801</v>
          </cell>
          <cell r="G60" t="str">
            <v>+48 695 215 173</v>
          </cell>
          <cell r="H60" t="str">
            <v>mkuzniewska@wp.pl</v>
          </cell>
          <cell r="I60" t="str">
            <v>Nadia Kuźniewska</v>
          </cell>
          <cell r="J60">
            <v>18</v>
          </cell>
          <cell r="K60" t="str">
            <v>Średnia - liceum</v>
          </cell>
          <cell r="L60">
            <v>4</v>
          </cell>
          <cell r="M60" t="str">
            <v>Język angielski</v>
          </cell>
          <cell r="N60" t="str">
            <v>Maturalny</v>
          </cell>
          <cell r="O60" t="str">
            <v>Tak (lub kolejny członek rodziny)</v>
          </cell>
          <cell r="P60">
            <v>1</v>
          </cell>
          <cell r="Q60" t="str">
            <v>063/2025</v>
          </cell>
          <cell r="R60" t="str">
            <v>N</v>
          </cell>
          <cell r="S60" t="str">
            <v>N</v>
          </cell>
          <cell r="T60">
            <v>5</v>
          </cell>
          <cell r="U60" t="str">
            <v>Z</v>
          </cell>
          <cell r="V60">
            <v>58</v>
          </cell>
          <cell r="W60" t="str">
            <v>wrzesień 2025</v>
          </cell>
          <cell r="X60" t="str">
            <v>maj 2026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>
            <v>59</v>
          </cell>
          <cell r="B61">
            <v>45877.826990740738</v>
          </cell>
          <cell r="C61" t="str">
            <v>Patrycja Krawczyk</v>
          </cell>
          <cell r="D61" t="str">
            <v xml:space="preserve">14-200  Iława </v>
          </cell>
          <cell r="E61" t="str">
            <v>Matejki 1/76</v>
          </cell>
          <cell r="F61">
            <v>80021209068</v>
          </cell>
          <cell r="G61" t="str">
            <v>+48 509 961 968</v>
          </cell>
          <cell r="H61" t="str">
            <v>bodek80@onet.eu</v>
          </cell>
          <cell r="I61" t="str">
            <v>Jakub Krawczyk</v>
          </cell>
          <cell r="J61">
            <v>15</v>
          </cell>
          <cell r="K61" t="str">
            <v>Podstawowa</v>
          </cell>
          <cell r="L61">
            <v>8</v>
          </cell>
          <cell r="M61" t="str">
            <v>Język polski</v>
          </cell>
          <cell r="N61" t="str">
            <v>Ósmoklasisty</v>
          </cell>
          <cell r="O61" t="str">
            <v>Nie</v>
          </cell>
          <cell r="P61">
            <v>2</v>
          </cell>
          <cell r="Q61">
            <v>0</v>
          </cell>
          <cell r="R61" t="str">
            <v>N</v>
          </cell>
          <cell r="S61" t="str">
            <v>N</v>
          </cell>
          <cell r="T61">
            <v>15</v>
          </cell>
          <cell r="U61" t="str">
            <v>Z</v>
          </cell>
          <cell r="V61">
            <v>64</v>
          </cell>
          <cell r="W61" t="str">
            <v>wrzesień 2025</v>
          </cell>
          <cell r="X61" t="str">
            <v>kwiecień 2026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>
            <v>60</v>
          </cell>
          <cell r="B62">
            <v>45881.879374999997</v>
          </cell>
          <cell r="C62" t="str">
            <v>Alina Piotrowska</v>
          </cell>
          <cell r="D62" t="str">
            <v>14-200  Nowa Wieś</v>
          </cell>
          <cell r="E62" t="str">
            <v>Jowisza 64</v>
          </cell>
          <cell r="F62">
            <v>76120712509</v>
          </cell>
          <cell r="G62" t="str">
            <v>+48 602 264 037</v>
          </cell>
          <cell r="H62" t="str">
            <v>alina_piotrowska@tlen.pl</v>
          </cell>
          <cell r="I62" t="str">
            <v>Michał Piotrowski</v>
          </cell>
          <cell r="J62">
            <v>15</v>
          </cell>
          <cell r="K62" t="str">
            <v>Podstawowa</v>
          </cell>
          <cell r="L62">
            <v>8</v>
          </cell>
          <cell r="M62" t="str">
            <v>Język angielski</v>
          </cell>
          <cell r="N62" t="str">
            <v>Ósmoklasisty</v>
          </cell>
          <cell r="O62" t="str">
            <v>Tak (lub kolejny członek rodziny)</v>
          </cell>
          <cell r="P62">
            <v>2</v>
          </cell>
          <cell r="Q62" t="str">
            <v>010/2025</v>
          </cell>
          <cell r="R62" t="str">
            <v>N</v>
          </cell>
          <cell r="S62" t="str">
            <v>N</v>
          </cell>
          <cell r="T62">
            <v>15</v>
          </cell>
          <cell r="U62" t="str">
            <v>Z</v>
          </cell>
          <cell r="V62">
            <v>64</v>
          </cell>
          <cell r="W62" t="str">
            <v>wrzesień 2025</v>
          </cell>
          <cell r="X62" t="str">
            <v>maj 2026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>
            <v>61</v>
          </cell>
          <cell r="B63">
            <v>45881.897094907406</v>
          </cell>
          <cell r="C63" t="str">
            <v>Alina Piotrowska</v>
          </cell>
          <cell r="D63" t="str">
            <v>14-200  Iława</v>
          </cell>
          <cell r="E63" t="str">
            <v xml:space="preserve"> Jowisza 64</v>
          </cell>
          <cell r="F63">
            <v>76120712509</v>
          </cell>
          <cell r="G63" t="str">
            <v>+48 602 264 037</v>
          </cell>
          <cell r="H63" t="str">
            <v>alina_piotrowska@tlen.pl</v>
          </cell>
          <cell r="I63" t="str">
            <v>Oliwia Piotrowska</v>
          </cell>
          <cell r="J63">
            <v>18</v>
          </cell>
          <cell r="K63" t="str">
            <v>Średnia - liceum</v>
          </cell>
          <cell r="L63">
            <v>4</v>
          </cell>
          <cell r="M63" t="str">
            <v>Matematyka</v>
          </cell>
          <cell r="N63" t="str">
            <v>Maturalny</v>
          </cell>
          <cell r="O63" t="str">
            <v>Tak (lub kolejny członek rodziny)</v>
          </cell>
          <cell r="P63">
            <v>2</v>
          </cell>
          <cell r="Q63" t="str">
            <v>56/2025</v>
          </cell>
          <cell r="R63" t="str">
            <v>N</v>
          </cell>
          <cell r="S63" t="str">
            <v>N</v>
          </cell>
          <cell r="T63">
            <v>15</v>
          </cell>
          <cell r="U63" t="str">
            <v>Z</v>
          </cell>
          <cell r="V63">
            <v>58</v>
          </cell>
          <cell r="W63" t="str">
            <v>wrzesień 2025</v>
          </cell>
          <cell r="X63" t="str">
            <v>maj 2026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>
            <v>62</v>
          </cell>
          <cell r="B64">
            <v>45881.999664351853</v>
          </cell>
          <cell r="C64" t="str">
            <v>Dorota Umińska</v>
          </cell>
          <cell r="D64" t="str">
            <v xml:space="preserve">13-300 Nowe Miasto Lubawskie </v>
          </cell>
          <cell r="E64" t="str">
            <v>Kornatki 38</v>
          </cell>
          <cell r="F64">
            <v>87121909083</v>
          </cell>
          <cell r="G64" t="str">
            <v>+48 507 848 921</v>
          </cell>
          <cell r="H64" t="str">
            <v>dorota.u.23@wp.pl</v>
          </cell>
          <cell r="I64" t="str">
            <v>Julian Kasprowicz</v>
          </cell>
          <cell r="J64">
            <v>9</v>
          </cell>
          <cell r="K64" t="str">
            <v>Podstawowa</v>
          </cell>
          <cell r="L64">
            <v>3</v>
          </cell>
          <cell r="M64" t="str">
            <v>Język angielski</v>
          </cell>
          <cell r="N64">
            <v>0</v>
          </cell>
          <cell r="O64" t="str">
            <v>Tak (lub kolejny członek rodziny)</v>
          </cell>
          <cell r="P64">
            <v>1</v>
          </cell>
          <cell r="Q64" t="str">
            <v>003/2025</v>
          </cell>
          <cell r="R64" t="str">
            <v>N</v>
          </cell>
          <cell r="S64" t="str">
            <v>N</v>
          </cell>
          <cell r="T64">
            <v>25</v>
          </cell>
          <cell r="U64" t="str">
            <v>Z</v>
          </cell>
          <cell r="V64">
            <v>64</v>
          </cell>
          <cell r="W64" t="str">
            <v>wrzesień 2025</v>
          </cell>
          <cell r="X64" t="str">
            <v>maj 2026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>
            <v>63</v>
          </cell>
          <cell r="B65">
            <v>45882.720752314817</v>
          </cell>
          <cell r="C65" t="str">
            <v>Aneta Markuszewska</v>
          </cell>
          <cell r="D65" t="str">
            <v>14-200 Iława</v>
          </cell>
          <cell r="E65" t="str">
            <v>Konstytucji 3c/14</v>
          </cell>
          <cell r="F65">
            <v>84061814367</v>
          </cell>
          <cell r="G65" t="str">
            <v>+48 530 850 399</v>
          </cell>
          <cell r="H65" t="str">
            <v>aneti.nml@wp.pl</v>
          </cell>
          <cell r="I65" t="str">
            <v>Julia Markuszewska</v>
          </cell>
          <cell r="J65">
            <v>13</v>
          </cell>
          <cell r="K65" t="str">
            <v>Podstawowa</v>
          </cell>
          <cell r="L65">
            <v>7</v>
          </cell>
          <cell r="M65" t="str">
            <v>Język angielski</v>
          </cell>
          <cell r="N65">
            <v>0</v>
          </cell>
          <cell r="O65" t="str">
            <v>Tak (lub kolejny członek rodziny)</v>
          </cell>
          <cell r="P65">
            <v>1</v>
          </cell>
          <cell r="Q65">
            <v>0</v>
          </cell>
          <cell r="R65" t="str">
            <v>N</v>
          </cell>
          <cell r="S65" t="str">
            <v>N</v>
          </cell>
          <cell r="T65">
            <v>15</v>
          </cell>
          <cell r="U65" t="str">
            <v>Ix1</v>
          </cell>
          <cell r="V65">
            <v>33</v>
          </cell>
          <cell r="W65" t="str">
            <v>wrzesień 2025</v>
          </cell>
          <cell r="X65" t="str">
            <v>maj 2026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>
            <v>64</v>
          </cell>
          <cell r="B66">
            <v>45882.798680555556</v>
          </cell>
          <cell r="C66" t="str">
            <v>Dagmara Zawieracz</v>
          </cell>
          <cell r="D66" t="str">
            <v>13-300 Nowe Miasto Lubawskie</v>
          </cell>
          <cell r="E66" t="str">
            <v>Grunwaldzka 11/21</v>
          </cell>
          <cell r="F66">
            <v>91051005304</v>
          </cell>
          <cell r="G66" t="str">
            <v>+48 693 527 216</v>
          </cell>
          <cell r="H66" t="str">
            <v>dagmara.zaw@wp.pl</v>
          </cell>
          <cell r="I66" t="str">
            <v>Jan Galiński</v>
          </cell>
          <cell r="J66">
            <v>9</v>
          </cell>
          <cell r="K66" t="str">
            <v>Podstawowa</v>
          </cell>
          <cell r="L66">
            <v>3</v>
          </cell>
          <cell r="M66" t="str">
            <v>Język angielski</v>
          </cell>
          <cell r="N66">
            <v>0</v>
          </cell>
          <cell r="O66" t="str">
            <v>Tak (lub kolejny członek rodziny)</v>
          </cell>
          <cell r="P66">
            <v>1</v>
          </cell>
          <cell r="Q66" t="str">
            <v>006/2025</v>
          </cell>
          <cell r="R66" t="str">
            <v>N</v>
          </cell>
          <cell r="S66" t="str">
            <v>N</v>
          </cell>
          <cell r="T66">
            <v>15</v>
          </cell>
          <cell r="U66" t="str">
            <v>Z</v>
          </cell>
          <cell r="V66">
            <v>64</v>
          </cell>
          <cell r="W66" t="str">
            <v>wrzesień 2025</v>
          </cell>
          <cell r="X66" t="str">
            <v>sierpień 2026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>
            <v>65</v>
          </cell>
          <cell r="B67">
            <v>45883.599178240744</v>
          </cell>
          <cell r="C67" t="str">
            <v>Aneta Detyna</v>
          </cell>
          <cell r="D67" t="str">
            <v>14-200 Iława</v>
          </cell>
          <cell r="E67" t="str">
            <v>Gdańska 5B/29</v>
          </cell>
          <cell r="F67">
            <v>83122717722</v>
          </cell>
          <cell r="G67" t="str">
            <v>+48 515 394 676</v>
          </cell>
          <cell r="H67" t="str">
            <v>detyn@wp.pl</v>
          </cell>
          <cell r="I67" t="str">
            <v>Wiktoria Detyna</v>
          </cell>
          <cell r="J67">
            <v>20</v>
          </cell>
          <cell r="K67" t="str">
            <v>Średnia - technikum</v>
          </cell>
          <cell r="L67">
            <v>5</v>
          </cell>
          <cell r="M67" t="str">
            <v>Matematyka</v>
          </cell>
          <cell r="N67" t="str">
            <v>Maturalny</v>
          </cell>
          <cell r="O67" t="str">
            <v>Nie</v>
          </cell>
          <cell r="P67">
            <v>3</v>
          </cell>
          <cell r="Q67">
            <v>0</v>
          </cell>
          <cell r="R67" t="str">
            <v>N</v>
          </cell>
          <cell r="S67" t="str">
            <v>N</v>
          </cell>
          <cell r="T67">
            <v>15</v>
          </cell>
          <cell r="U67" t="str">
            <v>Z</v>
          </cell>
          <cell r="V67">
            <v>58</v>
          </cell>
          <cell r="W67" t="str">
            <v>wrzesień 2025</v>
          </cell>
          <cell r="X67" t="str">
            <v>maj 2026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>
            <v>66</v>
          </cell>
          <cell r="B68">
            <v>45883.602789351855</v>
          </cell>
          <cell r="C68" t="str">
            <v>Aneta Detyna</v>
          </cell>
          <cell r="D68" t="str">
            <v>14-200 Iława</v>
          </cell>
          <cell r="E68" t="str">
            <v>Gdańska 5B/29</v>
          </cell>
          <cell r="F68">
            <v>83122717722</v>
          </cell>
          <cell r="G68" t="str">
            <v>+48 515 394 676</v>
          </cell>
          <cell r="H68" t="str">
            <v>detyn@wp.pl</v>
          </cell>
          <cell r="I68" t="str">
            <v>Wiktoria Detyna</v>
          </cell>
          <cell r="J68">
            <v>20</v>
          </cell>
          <cell r="K68" t="str">
            <v>Średnia - technikum</v>
          </cell>
          <cell r="L68">
            <v>5</v>
          </cell>
          <cell r="M68" t="str">
            <v>Język angielski</v>
          </cell>
          <cell r="N68" t="str">
            <v>Maturalny</v>
          </cell>
          <cell r="O68" t="str">
            <v>Nie</v>
          </cell>
          <cell r="P68">
            <v>3</v>
          </cell>
          <cell r="Q68">
            <v>0</v>
          </cell>
          <cell r="R68" t="str">
            <v>N</v>
          </cell>
          <cell r="S68" t="str">
            <v>N</v>
          </cell>
          <cell r="T68">
            <v>15</v>
          </cell>
          <cell r="U68" t="str">
            <v>Z</v>
          </cell>
          <cell r="V68">
            <v>58</v>
          </cell>
          <cell r="W68" t="str">
            <v>wrzesień 2025</v>
          </cell>
          <cell r="X68" t="str">
            <v>maj 2026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>
            <v>67</v>
          </cell>
          <cell r="B69">
            <v>45883.605949074074</v>
          </cell>
          <cell r="C69" t="str">
            <v>Aneta Detyna</v>
          </cell>
          <cell r="D69" t="str">
            <v>14-200 Iława</v>
          </cell>
          <cell r="E69" t="str">
            <v>Gdańska 5B/29</v>
          </cell>
          <cell r="F69">
            <v>83122717722</v>
          </cell>
          <cell r="G69" t="str">
            <v>+48 515 394 676</v>
          </cell>
          <cell r="H69" t="str">
            <v>detyn@wp.pl</v>
          </cell>
          <cell r="I69" t="str">
            <v>Wiktoria Detyna</v>
          </cell>
          <cell r="J69">
            <v>20</v>
          </cell>
          <cell r="K69" t="str">
            <v>Średnia - technikum</v>
          </cell>
          <cell r="L69">
            <v>5</v>
          </cell>
          <cell r="M69" t="str">
            <v>Język polski</v>
          </cell>
          <cell r="N69" t="str">
            <v>Maturalny</v>
          </cell>
          <cell r="O69" t="str">
            <v>Nie</v>
          </cell>
          <cell r="P69">
            <v>3</v>
          </cell>
          <cell r="Q69">
            <v>0</v>
          </cell>
          <cell r="R69" t="str">
            <v>N</v>
          </cell>
          <cell r="S69" t="str">
            <v>N</v>
          </cell>
          <cell r="T69">
            <v>15</v>
          </cell>
          <cell r="U69" t="str">
            <v>Z</v>
          </cell>
          <cell r="V69">
            <v>58</v>
          </cell>
          <cell r="W69" t="str">
            <v>wrzesień 2025</v>
          </cell>
          <cell r="X69" t="str">
            <v>maj 2026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>
            <v>68</v>
          </cell>
          <cell r="B70">
            <v>45883.707557870373</v>
          </cell>
          <cell r="C70" t="str">
            <v>Aneta Naworska</v>
          </cell>
          <cell r="D70" t="str">
            <v>14-241 Ząbrowo</v>
          </cell>
          <cell r="E70" t="str">
            <v>Kolejowa 30</v>
          </cell>
          <cell r="F70">
            <v>74111508946</v>
          </cell>
          <cell r="G70" t="str">
            <v>+48 504 164 827</v>
          </cell>
          <cell r="H70" t="str">
            <v>aneta.naworska74@gmail.com</v>
          </cell>
          <cell r="I70" t="str">
            <v>Natalia Naworska</v>
          </cell>
          <cell r="J70">
            <v>16</v>
          </cell>
          <cell r="K70" t="str">
            <v>Średnia - technikum</v>
          </cell>
          <cell r="L70">
            <v>2</v>
          </cell>
          <cell r="M70" t="str">
            <v>Matematyka</v>
          </cell>
          <cell r="N70">
            <v>0</v>
          </cell>
          <cell r="O70" t="str">
            <v>Tak (lub kolejny członek rodziny)</v>
          </cell>
          <cell r="P70">
            <v>1</v>
          </cell>
          <cell r="Q70">
            <v>0</v>
          </cell>
          <cell r="R70" t="str">
            <v>N</v>
          </cell>
          <cell r="S70" t="str">
            <v>N</v>
          </cell>
          <cell r="T70">
            <v>25</v>
          </cell>
          <cell r="U70" t="str">
            <v>Z</v>
          </cell>
          <cell r="V70">
            <v>64</v>
          </cell>
          <cell r="W70" t="str">
            <v>wrzesień 2025</v>
          </cell>
          <cell r="X70">
            <v>46174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>
            <v>69</v>
          </cell>
          <cell r="B71">
            <v>45886.877835648149</v>
          </cell>
          <cell r="C71" t="str">
            <v>Monika Maraszek</v>
          </cell>
          <cell r="D71" t="str">
            <v>14-240 Susz</v>
          </cell>
          <cell r="E71" t="str">
            <v>Sucharskiego 9</v>
          </cell>
          <cell r="F71">
            <v>80021214585</v>
          </cell>
          <cell r="G71" t="str">
            <v>48 882 730 136</v>
          </cell>
          <cell r="H71" t="str">
            <v>monika.maraszek@o2.pl</v>
          </cell>
          <cell r="I71" t="str">
            <v>Zuzanna Maraszek</v>
          </cell>
          <cell r="J71">
            <v>0</v>
          </cell>
          <cell r="K71">
            <v>0</v>
          </cell>
          <cell r="L71">
            <v>0</v>
          </cell>
          <cell r="M71" t="str">
            <v>Język angielski</v>
          </cell>
          <cell r="N71" t="str">
            <v>Maturalny</v>
          </cell>
          <cell r="O71" t="str">
            <v>Nie</v>
          </cell>
          <cell r="P71">
            <v>1</v>
          </cell>
          <cell r="Q71">
            <v>0</v>
          </cell>
          <cell r="R71" t="str">
            <v>N</v>
          </cell>
          <cell r="S71" t="str">
            <v>N</v>
          </cell>
          <cell r="T71">
            <v>25</v>
          </cell>
          <cell r="U71" t="str">
            <v>Z</v>
          </cell>
          <cell r="V71">
            <v>58</v>
          </cell>
          <cell r="W71" t="str">
            <v>wrzesień 2025</v>
          </cell>
          <cell r="X71" t="str">
            <v>kwiecień 2026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2">
          <cell r="A72">
            <v>70</v>
          </cell>
          <cell r="B72">
            <v>45887.349074074074</v>
          </cell>
          <cell r="C72" t="str">
            <v>Magdalena Tarchanow</v>
          </cell>
          <cell r="D72" t="str">
            <v>13-300 Pacółtowo</v>
          </cell>
          <cell r="E72" t="str">
            <v>ul Łąkowa 4</v>
          </cell>
          <cell r="F72">
            <v>84041314346</v>
          </cell>
          <cell r="G72" t="str">
            <v>+48 721 374 650</v>
          </cell>
          <cell r="H72" t="str">
            <v>m.tarchanow@o2.pl</v>
          </cell>
          <cell r="I72" t="str">
            <v>Zuzanna Tarchanow</v>
          </cell>
          <cell r="J72">
            <v>15</v>
          </cell>
          <cell r="K72" t="str">
            <v>Średnia - liceum</v>
          </cell>
          <cell r="L72">
            <v>1</v>
          </cell>
          <cell r="M72" t="str">
            <v>Język angielski</v>
          </cell>
          <cell r="N72">
            <v>0</v>
          </cell>
          <cell r="O72" t="str">
            <v>Tak (lub kolejny członek rodziny)</v>
          </cell>
          <cell r="P72">
            <v>1</v>
          </cell>
          <cell r="Q72">
            <v>0</v>
          </cell>
          <cell r="R72" t="str">
            <v>N</v>
          </cell>
          <cell r="S72" t="str">
            <v>N</v>
          </cell>
          <cell r="T72">
            <v>15</v>
          </cell>
          <cell r="U72" t="str">
            <v>Ix1</v>
          </cell>
          <cell r="V72">
            <v>33</v>
          </cell>
          <cell r="W72" t="str">
            <v>wrzesień 2025</v>
          </cell>
          <cell r="X72" t="str">
            <v>sierpień 2026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3">
          <cell r="A73">
            <v>71</v>
          </cell>
          <cell r="B73">
            <v>45887.374513888892</v>
          </cell>
          <cell r="C73" t="str">
            <v>Alina Hetnar-Wójcicka</v>
          </cell>
          <cell r="D73" t="str">
            <v>14-200 Iława</v>
          </cell>
          <cell r="E73" t="str">
            <v>Piastowska 4/41</v>
          </cell>
          <cell r="F73">
            <v>78122412845</v>
          </cell>
          <cell r="G73" t="str">
            <v>+48 669 231 289</v>
          </cell>
          <cell r="H73" t="str">
            <v>hetnarka@tlen.pl</v>
          </cell>
          <cell r="I73" t="str">
            <v>Kacper Hetnar-Wójcicki</v>
          </cell>
          <cell r="J73">
            <v>12</v>
          </cell>
          <cell r="K73" t="str">
            <v>Podstawowa</v>
          </cell>
          <cell r="L73">
            <v>5</v>
          </cell>
          <cell r="M73" t="str">
            <v>Język angielski</v>
          </cell>
          <cell r="N73">
            <v>0</v>
          </cell>
          <cell r="O73" t="str">
            <v>Tak (lub kolejny członek rodziny)</v>
          </cell>
          <cell r="P73">
            <v>2</v>
          </cell>
          <cell r="Q73">
            <v>0</v>
          </cell>
          <cell r="R73" t="str">
            <v>N</v>
          </cell>
          <cell r="S73" t="str">
            <v>N</v>
          </cell>
          <cell r="T73">
            <v>5</v>
          </cell>
          <cell r="U73" t="str">
            <v>Z</v>
          </cell>
          <cell r="V73">
            <v>64</v>
          </cell>
          <cell r="W73" t="str">
            <v>wrzesień 2025</v>
          </cell>
          <cell r="X73" t="str">
            <v>maj 2026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>
            <v>72</v>
          </cell>
          <cell r="B74">
            <v>45887.549189814818</v>
          </cell>
          <cell r="C74" t="str">
            <v>Ewa Ostrowska</v>
          </cell>
          <cell r="D74" t="str">
            <v xml:space="preserve">14-220 Kisielice </v>
          </cell>
          <cell r="E74" t="str">
            <v>Zagrodowa , 2A</v>
          </cell>
          <cell r="F74">
            <v>83030416843</v>
          </cell>
          <cell r="G74" t="str">
            <v>+48 600 968 617</v>
          </cell>
          <cell r="H74" t="str">
            <v>ewa.ostrowska@opoczta.pl</v>
          </cell>
          <cell r="I74" t="str">
            <v>Zuzanna Ostrowska</v>
          </cell>
          <cell r="J74">
            <v>17</v>
          </cell>
          <cell r="K74" t="str">
            <v>Średnia - liceum</v>
          </cell>
          <cell r="L74">
            <v>3</v>
          </cell>
          <cell r="M74" t="str">
            <v>Język angielski</v>
          </cell>
          <cell r="N74">
            <v>0</v>
          </cell>
          <cell r="O74" t="str">
            <v>Tak (lub kolejny członek rodziny)</v>
          </cell>
          <cell r="P74">
            <v>2</v>
          </cell>
          <cell r="Q74" t="str">
            <v>050</v>
          </cell>
          <cell r="R74" t="str">
            <v>N</v>
          </cell>
          <cell r="S74" t="str">
            <v>N</v>
          </cell>
          <cell r="T74">
            <v>15</v>
          </cell>
          <cell r="U74" t="str">
            <v>Ix1</v>
          </cell>
          <cell r="V74">
            <v>33</v>
          </cell>
          <cell r="W74" t="str">
            <v>wrzesień 2025</v>
          </cell>
          <cell r="X74" t="str">
            <v>maj 2026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5">
          <cell r="A75">
            <v>73</v>
          </cell>
          <cell r="B75">
            <v>45887.552893518521</v>
          </cell>
          <cell r="C75" t="str">
            <v>Ewa Ostrowska</v>
          </cell>
          <cell r="D75" t="str">
            <v xml:space="preserve">14-220 Kisielice </v>
          </cell>
          <cell r="E75" t="str">
            <v>Zagrodowa , 2A</v>
          </cell>
          <cell r="F75">
            <v>83030416843</v>
          </cell>
          <cell r="G75" t="str">
            <v>+48 600 968 617</v>
          </cell>
          <cell r="H75" t="str">
            <v>ewa.ostrowska@opoczta.pl</v>
          </cell>
          <cell r="I75" t="str">
            <v>Hubert Ostrowski</v>
          </cell>
          <cell r="J75">
            <v>12</v>
          </cell>
          <cell r="K75" t="str">
            <v>Podstawowa</v>
          </cell>
          <cell r="L75">
            <v>5</v>
          </cell>
          <cell r="M75" t="str">
            <v>Język angielski</v>
          </cell>
          <cell r="N75">
            <v>0</v>
          </cell>
          <cell r="O75" t="str">
            <v>Tak (lub kolejny członek rodziny)</v>
          </cell>
          <cell r="P75">
            <v>2</v>
          </cell>
          <cell r="Q75">
            <v>0</v>
          </cell>
          <cell r="R75" t="str">
            <v>N</v>
          </cell>
          <cell r="S75" t="str">
            <v>N</v>
          </cell>
          <cell r="T75">
            <v>15</v>
          </cell>
          <cell r="U75" t="str">
            <v>Ix1</v>
          </cell>
          <cell r="V75">
            <v>33</v>
          </cell>
          <cell r="W75" t="str">
            <v>wrzesień 2025</v>
          </cell>
          <cell r="X75" t="str">
            <v>maj 2026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6">
          <cell r="A76">
            <v>74</v>
          </cell>
          <cell r="B76">
            <v>45888.574525462966</v>
          </cell>
          <cell r="C76" t="str">
            <v>Tomasz Tyc</v>
          </cell>
          <cell r="D76" t="str">
            <v>14-200 Iława</v>
          </cell>
          <cell r="E76" t="str">
            <v>K. K. Baczyńskiego 1A/50</v>
          </cell>
          <cell r="F76">
            <v>73021608593</v>
          </cell>
          <cell r="G76" t="str">
            <v>+48 607 190 409</v>
          </cell>
          <cell r="H76" t="str">
            <v>tomikami@op.pl</v>
          </cell>
          <cell r="I76" t="str">
            <v>Amelia Tyc</v>
          </cell>
          <cell r="J76">
            <v>0</v>
          </cell>
          <cell r="K76" t="str">
            <v>Średnia - liceum</v>
          </cell>
          <cell r="L76">
            <v>3</v>
          </cell>
          <cell r="M76" t="str">
            <v>Język angielski</v>
          </cell>
          <cell r="N76" t="str">
            <v>Maturalny</v>
          </cell>
          <cell r="O76" t="str">
            <v>Tak (lub kolejny członek rodziny)</v>
          </cell>
          <cell r="P76">
            <v>1</v>
          </cell>
          <cell r="Q76" t="str">
            <v>052/2025</v>
          </cell>
          <cell r="R76" t="str">
            <v>N</v>
          </cell>
          <cell r="S76" t="str">
            <v>N</v>
          </cell>
          <cell r="T76">
            <v>5</v>
          </cell>
          <cell r="U76" t="str">
            <v>Z</v>
          </cell>
          <cell r="V76">
            <v>64</v>
          </cell>
          <cell r="W76" t="str">
            <v>wrzesień 2025</v>
          </cell>
          <cell r="X76" t="str">
            <v>czerwiec 2026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>
            <v>75</v>
          </cell>
          <cell r="B77">
            <v>45889.610706018517</v>
          </cell>
          <cell r="C77" t="str">
            <v>Aneta Bojanowska</v>
          </cell>
          <cell r="D77" t="str">
            <v>14-202 Laseczno Małe</v>
          </cell>
          <cell r="E77" t="str">
            <v>Laseczno Małe 79</v>
          </cell>
          <cell r="F77">
            <v>81021609766</v>
          </cell>
          <cell r="G77" t="str">
            <v>+48 506 136 797</v>
          </cell>
          <cell r="H77" t="str">
            <v>anetahohorowska@wp.pl</v>
          </cell>
          <cell r="I77" t="str">
            <v>Marcelina Bojanowska</v>
          </cell>
          <cell r="J77">
            <v>15</v>
          </cell>
          <cell r="K77" t="str">
            <v>Podstawowa</v>
          </cell>
          <cell r="L77">
            <v>8</v>
          </cell>
          <cell r="M77" t="str">
            <v>Język angielski</v>
          </cell>
          <cell r="N77" t="str">
            <v>Ósmoklasisty</v>
          </cell>
          <cell r="O77" t="str">
            <v>Tak (lub kolejny członek rodziny)</v>
          </cell>
          <cell r="P77">
            <v>1</v>
          </cell>
          <cell r="Q77" t="str">
            <v>076/2025</v>
          </cell>
          <cell r="R77" t="str">
            <v>N</v>
          </cell>
          <cell r="S77" t="str">
            <v>N</v>
          </cell>
          <cell r="T77">
            <v>15</v>
          </cell>
          <cell r="U77" t="str">
            <v>Z</v>
          </cell>
          <cell r="V77">
            <v>64</v>
          </cell>
          <cell r="W77" t="str">
            <v>wrzesień 2025</v>
          </cell>
          <cell r="X77" t="str">
            <v>maj 2026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8">
          <cell r="A78">
            <v>76</v>
          </cell>
          <cell r="B78">
            <v>45889.760706018518</v>
          </cell>
          <cell r="C78" t="str">
            <v>Renata Kowalska</v>
          </cell>
          <cell r="D78" t="str">
            <v xml:space="preserve">14-200  Iława </v>
          </cell>
          <cell r="E78" t="str">
            <v>Krótka 15</v>
          </cell>
          <cell r="F78">
            <v>78012809065</v>
          </cell>
          <cell r="G78" t="str">
            <v>+48 605 046 467</v>
          </cell>
          <cell r="H78" t="str">
            <v>kowalskarenata16@gmail.com</v>
          </cell>
          <cell r="I78" t="str">
            <v>Renata Kowalska</v>
          </cell>
          <cell r="J78">
            <v>0</v>
          </cell>
          <cell r="K78">
            <v>0</v>
          </cell>
          <cell r="L78">
            <v>0</v>
          </cell>
          <cell r="M78" t="str">
            <v>Język niemiecki</v>
          </cell>
          <cell r="N78">
            <v>0</v>
          </cell>
          <cell r="O78" t="str">
            <v>Nie</v>
          </cell>
          <cell r="P78">
            <v>1</v>
          </cell>
          <cell r="Q78">
            <v>0</v>
          </cell>
          <cell r="R78" t="str">
            <v>N</v>
          </cell>
          <cell r="S78" t="str">
            <v>N</v>
          </cell>
          <cell r="T78">
            <v>15</v>
          </cell>
          <cell r="U78" t="str">
            <v>Z</v>
          </cell>
          <cell r="V78">
            <v>64</v>
          </cell>
          <cell r="W78" t="str">
            <v>wrzesień 2025</v>
          </cell>
          <cell r="X78" t="str">
            <v>maj 2026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>
            <v>77</v>
          </cell>
          <cell r="B79">
            <v>45889.7658912037</v>
          </cell>
          <cell r="C79" t="str">
            <v>Samanta Szpakowska</v>
          </cell>
          <cell r="D79" t="str">
            <v>13-332 Jamielnik</v>
          </cell>
          <cell r="E79" t="str">
            <v>Ks. Jana Batke 4</v>
          </cell>
          <cell r="F79">
            <v>5302805447</v>
          </cell>
          <cell r="G79" t="str">
            <v>+48 502 716 945</v>
          </cell>
          <cell r="H79" t="str">
            <v>samanciaq@gmail.com</v>
          </cell>
          <cell r="I79" t="str">
            <v>Samanta Szpakowska</v>
          </cell>
          <cell r="J79">
            <v>0</v>
          </cell>
          <cell r="K79">
            <v>0</v>
          </cell>
          <cell r="L79">
            <v>0</v>
          </cell>
          <cell r="M79" t="str">
            <v>Język angielski</v>
          </cell>
          <cell r="N79">
            <v>0</v>
          </cell>
          <cell r="O79" t="str">
            <v>Tak (lub kolejny członek rodziny)</v>
          </cell>
          <cell r="P79">
            <v>1</v>
          </cell>
          <cell r="Q79">
            <v>0</v>
          </cell>
          <cell r="R79" t="str">
            <v>N</v>
          </cell>
          <cell r="S79" t="str">
            <v>N</v>
          </cell>
          <cell r="T79">
            <v>5</v>
          </cell>
          <cell r="U79" t="str">
            <v>Z</v>
          </cell>
          <cell r="V79">
            <v>64</v>
          </cell>
          <cell r="W79" t="str">
            <v>październik 2025</v>
          </cell>
          <cell r="X79">
            <v>46143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>
            <v>78</v>
          </cell>
          <cell r="B80">
            <v>45890.311944444446</v>
          </cell>
          <cell r="C80" t="str">
            <v>Alicja Wiśniewska</v>
          </cell>
          <cell r="D80" t="str">
            <v>14-200 Iława</v>
          </cell>
          <cell r="E80" t="str">
            <v>Ogrodowa 9</v>
          </cell>
          <cell r="F80">
            <v>88021500974</v>
          </cell>
          <cell r="G80" t="str">
            <v>+48 722 081 288</v>
          </cell>
          <cell r="H80" t="str">
            <v>wisniewska.alicjaaa@gmail.com</v>
          </cell>
          <cell r="I80" t="str">
            <v>Tobiasz Wiśniewski</v>
          </cell>
          <cell r="J80">
            <v>13</v>
          </cell>
          <cell r="K80" t="str">
            <v>Podstawowa</v>
          </cell>
          <cell r="L80">
            <v>7</v>
          </cell>
          <cell r="M80" t="str">
            <v>Matematyka</v>
          </cell>
          <cell r="N80" t="str">
            <v>Ósmoklasisty</v>
          </cell>
          <cell r="O80" t="str">
            <v>Nie</v>
          </cell>
          <cell r="P80">
            <v>1</v>
          </cell>
          <cell r="Q80">
            <v>0</v>
          </cell>
          <cell r="R80" t="str">
            <v>N</v>
          </cell>
          <cell r="S80" t="str">
            <v>N</v>
          </cell>
          <cell r="T80">
            <v>15</v>
          </cell>
          <cell r="U80" t="str">
            <v>Ix1</v>
          </cell>
          <cell r="V80">
            <v>33</v>
          </cell>
          <cell r="W80" t="str">
            <v>wrzesień 2025</v>
          </cell>
          <cell r="X80" t="str">
            <v>maj 2026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>
            <v>79</v>
          </cell>
          <cell r="B81">
            <v>45890.433564814812</v>
          </cell>
          <cell r="C81" t="str">
            <v>Klaudia Adamska</v>
          </cell>
          <cell r="D81" t="str">
            <v>03-804 Warszawa</v>
          </cell>
          <cell r="E81" t="str">
            <v>Bliska 17/120</v>
          </cell>
          <cell r="F81">
            <v>89011901986</v>
          </cell>
          <cell r="G81" t="str">
            <v>+48 781 545 894</v>
          </cell>
          <cell r="H81" t="str">
            <v>adamska.klaudia89@gmail.com</v>
          </cell>
          <cell r="I81" t="str">
            <v>Klaudia Adamska</v>
          </cell>
          <cell r="J81">
            <v>0</v>
          </cell>
          <cell r="K81">
            <v>0</v>
          </cell>
          <cell r="L81">
            <v>0</v>
          </cell>
          <cell r="M81" t="str">
            <v>Język angielski</v>
          </cell>
          <cell r="N81">
            <v>0</v>
          </cell>
          <cell r="O81" t="str">
            <v>Nie</v>
          </cell>
          <cell r="P81">
            <v>1</v>
          </cell>
          <cell r="Q81">
            <v>0</v>
          </cell>
          <cell r="R81" t="str">
            <v>N</v>
          </cell>
          <cell r="S81" t="str">
            <v>N</v>
          </cell>
          <cell r="T81">
            <v>5</v>
          </cell>
          <cell r="U81" t="str">
            <v>Ix1</v>
          </cell>
          <cell r="V81">
            <v>64</v>
          </cell>
          <cell r="W81" t="str">
            <v>wrzesień 2025</v>
          </cell>
          <cell r="X81" t="str">
            <v>sierpień 2026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>
            <v>80</v>
          </cell>
          <cell r="B82">
            <v>45890.484652777777</v>
          </cell>
          <cell r="C82" t="str">
            <v>Magdalena Getka</v>
          </cell>
          <cell r="D82" t="str">
            <v>13-340 Krotoszyny</v>
          </cell>
          <cell r="E82" t="str">
            <v>Bielice 21b </v>
          </cell>
          <cell r="F82">
            <v>78031708305</v>
          </cell>
          <cell r="G82" t="str">
            <v>+48 505 047 197</v>
          </cell>
          <cell r="H82" t="str">
            <v>superdekoratornia@wp.pl</v>
          </cell>
          <cell r="I82" t="str">
            <v>Miłosz Puchalski</v>
          </cell>
          <cell r="J82">
            <v>0</v>
          </cell>
          <cell r="K82">
            <v>0</v>
          </cell>
          <cell r="L82">
            <v>0</v>
          </cell>
          <cell r="M82" t="str">
            <v>Język angielski</v>
          </cell>
          <cell r="N82" t="str">
            <v>Maturalny</v>
          </cell>
          <cell r="O82" t="str">
            <v>Nie</v>
          </cell>
          <cell r="P82">
            <v>2</v>
          </cell>
          <cell r="Q82">
            <v>0</v>
          </cell>
          <cell r="R82" t="str">
            <v>N</v>
          </cell>
          <cell r="S82" t="str">
            <v>N</v>
          </cell>
          <cell r="T82">
            <v>5</v>
          </cell>
          <cell r="U82" t="str">
            <v>Ix1</v>
          </cell>
          <cell r="V82">
            <v>58</v>
          </cell>
          <cell r="W82" t="str">
            <v>październik 2025</v>
          </cell>
          <cell r="X82" t="str">
            <v>kwiecień 2026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3">
          <cell r="A83">
            <v>81</v>
          </cell>
          <cell r="B83">
            <v>45890.937650462962</v>
          </cell>
          <cell r="C83" t="str">
            <v>EMILIA Kubacka</v>
          </cell>
          <cell r="D83" t="str">
            <v>14-200 Iława</v>
          </cell>
          <cell r="E83" t="str">
            <v>Długa 45</v>
          </cell>
          <cell r="F83">
            <v>76092007603</v>
          </cell>
          <cell r="G83" t="str">
            <v>+48 515 085 600</v>
          </cell>
          <cell r="H83" t="str">
            <v>cmb.emiliakubacka@gmail.com</v>
          </cell>
          <cell r="I83" t="str">
            <v>Michał Kubacki</v>
          </cell>
          <cell r="J83">
            <v>12</v>
          </cell>
          <cell r="K83" t="str">
            <v>Podstawowa</v>
          </cell>
          <cell r="L83">
            <v>5</v>
          </cell>
          <cell r="M83" t="str">
            <v>Język angielski</v>
          </cell>
          <cell r="N83">
            <v>0</v>
          </cell>
          <cell r="O83" t="str">
            <v>Nie</v>
          </cell>
          <cell r="P83">
            <v>1</v>
          </cell>
          <cell r="Q83">
            <v>0</v>
          </cell>
          <cell r="R83" t="str">
            <v>N</v>
          </cell>
          <cell r="S83" t="str">
            <v>N</v>
          </cell>
          <cell r="T83">
            <v>15</v>
          </cell>
          <cell r="U83" t="str">
            <v>Ix1</v>
          </cell>
          <cell r="V83">
            <v>33</v>
          </cell>
          <cell r="W83" t="str">
            <v>wrzesień 2025</v>
          </cell>
          <cell r="X83" t="str">
            <v>maj 2026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>
            <v>82</v>
          </cell>
          <cell r="B84">
            <v>45893.778425925928</v>
          </cell>
          <cell r="C84" t="str">
            <v>Monika Łukomska</v>
          </cell>
          <cell r="D84" t="str">
            <v>14-202 Laseczno Małe</v>
          </cell>
          <cell r="E84" t="str">
            <v>Laseczno Małe 92</v>
          </cell>
          <cell r="F84">
            <v>87042313383</v>
          </cell>
          <cell r="G84" t="str">
            <v>+48 667 230 743</v>
          </cell>
          <cell r="H84" t="str">
            <v>monikalukasz1985@wp.pl</v>
          </cell>
          <cell r="I84" t="str">
            <v>Zuzanna Łukomska</v>
          </cell>
          <cell r="J84">
            <v>18</v>
          </cell>
          <cell r="K84" t="str">
            <v>Średnia - liceum</v>
          </cell>
          <cell r="L84">
            <v>4</v>
          </cell>
          <cell r="M84" t="str">
            <v>Język angielski</v>
          </cell>
          <cell r="N84" t="str">
            <v>Maturalny</v>
          </cell>
          <cell r="O84" t="str">
            <v>Tak (lub kolejny członek rodziny)</v>
          </cell>
          <cell r="P84">
            <v>1</v>
          </cell>
          <cell r="Q84" t="str">
            <v>051/2025</v>
          </cell>
          <cell r="R84" t="str">
            <v>N</v>
          </cell>
          <cell r="S84" t="str">
            <v>N</v>
          </cell>
          <cell r="T84">
            <v>25</v>
          </cell>
          <cell r="U84" t="str">
            <v>Z</v>
          </cell>
          <cell r="V84">
            <v>58</v>
          </cell>
          <cell r="W84" t="str">
            <v>wrzesień 2025</v>
          </cell>
          <cell r="X84" t="str">
            <v>maj 2026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>
            <v>83</v>
          </cell>
          <cell r="B85">
            <v>45894.867534722223</v>
          </cell>
          <cell r="C85" t="str">
            <v>Anna Błażejewska</v>
          </cell>
          <cell r="F85"/>
          <cell r="G85" t="str">
            <v>+48 660 512 716</v>
          </cell>
          <cell r="H85" t="str">
            <v>anitka1407@wp.pl</v>
          </cell>
          <cell r="I85" t="str">
            <v>Agata Błażejewska</v>
          </cell>
          <cell r="J85">
            <v>12</v>
          </cell>
          <cell r="K85" t="str">
            <v>Podstawowa</v>
          </cell>
          <cell r="L85">
            <v>5</v>
          </cell>
          <cell r="M85" t="str">
            <v>Język angielski</v>
          </cell>
          <cell r="N85">
            <v>0</v>
          </cell>
          <cell r="O85" t="str">
            <v>Nie</v>
          </cell>
          <cell r="P85">
            <v>1</v>
          </cell>
          <cell r="Q85">
            <v>0</v>
          </cell>
          <cell r="R85" t="str">
            <v>N</v>
          </cell>
          <cell r="S85" t="str">
            <v>N</v>
          </cell>
          <cell r="T85">
            <v>5</v>
          </cell>
          <cell r="U85" t="str">
            <v>Z</v>
          </cell>
          <cell r="V85">
            <v>64</v>
          </cell>
          <cell r="W85" t="str">
            <v>wrzesień 2025</v>
          </cell>
          <cell r="X85" t="str">
            <v>maj 2026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>
            <v>84</v>
          </cell>
          <cell r="B86">
            <v>45896.68409722222</v>
          </cell>
          <cell r="C86" t="str">
            <v>Witold Rose</v>
          </cell>
          <cell r="F86"/>
          <cell r="G86">
            <v>48602611819</v>
          </cell>
          <cell r="H86" t="str">
            <v>witek.rose@gmail.com</v>
          </cell>
          <cell r="I86" t="str">
            <v>Witold Rose</v>
          </cell>
          <cell r="J86">
            <v>0</v>
          </cell>
          <cell r="K86">
            <v>0</v>
          </cell>
          <cell r="L86">
            <v>0</v>
          </cell>
          <cell r="M86" t="str">
            <v>Język angielski</v>
          </cell>
          <cell r="N86">
            <v>0</v>
          </cell>
          <cell r="O86" t="str">
            <v>Nie</v>
          </cell>
          <cell r="P86">
            <v>1</v>
          </cell>
          <cell r="Q86">
            <v>0</v>
          </cell>
          <cell r="R86" t="str">
            <v>N</v>
          </cell>
          <cell r="S86" t="str">
            <v>N</v>
          </cell>
          <cell r="T86">
            <v>5</v>
          </cell>
          <cell r="U86" t="str">
            <v>Ix3</v>
          </cell>
          <cell r="V86">
            <v>33</v>
          </cell>
          <cell r="W86">
            <v>45901</v>
          </cell>
          <cell r="X86" t="str">
            <v>maj 2026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>
            <v>85</v>
          </cell>
          <cell r="B87">
            <v>45897.532453703701</v>
          </cell>
          <cell r="C87" t="str">
            <v>Marzena Surmacz</v>
          </cell>
          <cell r="D87" t="str">
            <v>14-200 Wikielec</v>
          </cell>
          <cell r="E87" t="str">
            <v>Lawendowa 12</v>
          </cell>
          <cell r="F87">
            <v>85073009208</v>
          </cell>
          <cell r="G87">
            <v>48666721752</v>
          </cell>
          <cell r="H87" t="str">
            <v>surmaczm85.ms@gmail.com</v>
          </cell>
          <cell r="I87" t="str">
            <v>Filip Surmacz</v>
          </cell>
          <cell r="J87">
            <v>17</v>
          </cell>
          <cell r="K87" t="str">
            <v>Średnia - liceum</v>
          </cell>
          <cell r="L87">
            <v>3</v>
          </cell>
          <cell r="M87" t="str">
            <v>Język angielski</v>
          </cell>
          <cell r="N87" t="str">
            <v>Maturalny</v>
          </cell>
          <cell r="O87" t="str">
            <v>Tak (lub kolejny członek rodziny)</v>
          </cell>
          <cell r="P87">
            <v>2</v>
          </cell>
          <cell r="Q87">
            <v>0</v>
          </cell>
          <cell r="R87" t="str">
            <v>N</v>
          </cell>
          <cell r="S87" t="str">
            <v>N</v>
          </cell>
          <cell r="T87">
            <v>5</v>
          </cell>
          <cell r="U87" t="str">
            <v>Z</v>
          </cell>
          <cell r="V87">
            <v>64</v>
          </cell>
          <cell r="W87">
            <v>45901</v>
          </cell>
          <cell r="X87" t="str">
            <v>maj 2026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>
            <v>86</v>
          </cell>
          <cell r="B88">
            <v>45897.534641203703</v>
          </cell>
          <cell r="C88" t="str">
            <v>Marzena Surmacz</v>
          </cell>
          <cell r="D88" t="str">
            <v>14-200 Wikielec</v>
          </cell>
          <cell r="E88" t="str">
            <v>Lawendowa 12</v>
          </cell>
          <cell r="F88">
            <v>85073009208</v>
          </cell>
          <cell r="G88">
            <v>48666721752</v>
          </cell>
          <cell r="H88" t="str">
            <v>surmaczm85.ms@gmail.com</v>
          </cell>
          <cell r="I88" t="str">
            <v>Oliwia Surmacz</v>
          </cell>
          <cell r="J88">
            <v>15</v>
          </cell>
          <cell r="K88" t="str">
            <v>Średnia - liceum</v>
          </cell>
          <cell r="L88">
            <v>2</v>
          </cell>
          <cell r="M88" t="str">
            <v>Język angielski</v>
          </cell>
          <cell r="N88">
            <v>0</v>
          </cell>
          <cell r="O88" t="str">
            <v>Tak (lub kolejny członek rodziny)</v>
          </cell>
          <cell r="P88">
            <v>2</v>
          </cell>
          <cell r="Q88">
            <v>0</v>
          </cell>
          <cell r="R88" t="str">
            <v>N</v>
          </cell>
          <cell r="S88" t="str">
            <v>N</v>
          </cell>
          <cell r="T88">
            <v>5</v>
          </cell>
          <cell r="U88" t="str">
            <v>Z</v>
          </cell>
          <cell r="V88">
            <v>64</v>
          </cell>
          <cell r="W88">
            <v>45901</v>
          </cell>
          <cell r="X88" t="str">
            <v>maj 2026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A89">
            <v>87</v>
          </cell>
          <cell r="B89">
            <v>45897.557928240742</v>
          </cell>
          <cell r="C89" t="str">
            <v>Natalia Zawieracz</v>
          </cell>
          <cell r="D89" t="str">
            <v>14-202 Iława</v>
          </cell>
          <cell r="E89" t="str">
            <v>Smolki 6c/5</v>
          </cell>
          <cell r="F89">
            <v>94100403140</v>
          </cell>
          <cell r="G89">
            <v>48696433626</v>
          </cell>
          <cell r="H89" t="str">
            <v>zawieraczn@op.pl</v>
          </cell>
          <cell r="I89" t="str">
            <v>Kacper Napierski</v>
          </cell>
          <cell r="J89">
            <v>14</v>
          </cell>
          <cell r="K89" t="str">
            <v>Podstawowa</v>
          </cell>
          <cell r="L89">
            <v>8</v>
          </cell>
          <cell r="M89" t="str">
            <v>Język angielski</v>
          </cell>
          <cell r="N89" t="str">
            <v>Ósmoklasisty</v>
          </cell>
          <cell r="O89" t="str">
            <v>Tak (lub kolejny członek rodziny)</v>
          </cell>
          <cell r="P89">
            <v>1</v>
          </cell>
          <cell r="Q89">
            <v>0</v>
          </cell>
          <cell r="R89" t="str">
            <v>N</v>
          </cell>
          <cell r="S89" t="str">
            <v>N</v>
          </cell>
          <cell r="T89">
            <v>5</v>
          </cell>
          <cell r="U89" t="str">
            <v>Z</v>
          </cell>
          <cell r="V89">
            <v>64</v>
          </cell>
          <cell r="W89">
            <v>45901</v>
          </cell>
          <cell r="X89">
            <v>46174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A90">
            <v>88</v>
          </cell>
          <cell r="B90">
            <v>45897.632337962961</v>
          </cell>
          <cell r="C90" t="str">
            <v>Ilona Paturalska</v>
          </cell>
          <cell r="D90" t="str">
            <v>14-200 Iława</v>
          </cell>
          <cell r="E90" t="str">
            <v>Grudziądzka 19a</v>
          </cell>
          <cell r="F90">
            <v>83102911940</v>
          </cell>
          <cell r="G90">
            <v>48508978188</v>
          </cell>
          <cell r="H90" t="str">
            <v>ilonau1@wp.pl</v>
          </cell>
          <cell r="I90" t="str">
            <v>Patrycja Paturalska</v>
          </cell>
          <cell r="J90">
            <v>11</v>
          </cell>
          <cell r="K90" t="str">
            <v>Podstawowa</v>
          </cell>
          <cell r="L90">
            <v>5</v>
          </cell>
          <cell r="M90" t="str">
            <v>Język angielski</v>
          </cell>
          <cell r="N90">
            <v>0</v>
          </cell>
          <cell r="O90" t="str">
            <v>Nie</v>
          </cell>
          <cell r="P90">
            <v>1</v>
          </cell>
          <cell r="Q90">
            <v>0</v>
          </cell>
          <cell r="R90" t="str">
            <v>N</v>
          </cell>
          <cell r="S90" t="str">
            <v>N</v>
          </cell>
          <cell r="T90">
            <v>15</v>
          </cell>
          <cell r="U90" t="str">
            <v>Z</v>
          </cell>
          <cell r="V90">
            <v>64</v>
          </cell>
          <cell r="W90">
            <v>45901</v>
          </cell>
          <cell r="X90" t="str">
            <v>maj 2026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>
            <v>89</v>
          </cell>
          <cell r="B91">
            <v>45897.727534722224</v>
          </cell>
          <cell r="C91" t="str">
            <v>Justyna Jurkiewicz</v>
          </cell>
          <cell r="D91" t="str">
            <v>14-204 Rudzienice</v>
          </cell>
          <cell r="E91" t="str">
            <v>Iławska 2</v>
          </cell>
          <cell r="F91">
            <v>82081609516</v>
          </cell>
          <cell r="G91">
            <v>48785821009</v>
          </cell>
          <cell r="H91" t="str">
            <v>justyna.fikier@poczta.onet.pl</v>
          </cell>
          <cell r="I91" t="str">
            <v>Jędrzej Jurkiewicz</v>
          </cell>
          <cell r="J91">
            <v>15</v>
          </cell>
          <cell r="K91" t="str">
            <v>Średnia - liceum</v>
          </cell>
          <cell r="L91">
            <v>2</v>
          </cell>
          <cell r="M91" t="str">
            <v>Język angielski</v>
          </cell>
          <cell r="N91">
            <v>0</v>
          </cell>
          <cell r="O91" t="str">
            <v>Tak (lub kolejny członek rodziny)</v>
          </cell>
          <cell r="P91">
            <v>1</v>
          </cell>
          <cell r="Q91" t="str">
            <v>070/2025</v>
          </cell>
          <cell r="R91" t="str">
            <v>N</v>
          </cell>
          <cell r="S91" t="str">
            <v>N</v>
          </cell>
          <cell r="T91">
            <v>15</v>
          </cell>
          <cell r="U91" t="str">
            <v>Z</v>
          </cell>
          <cell r="V91">
            <v>64</v>
          </cell>
          <cell r="W91">
            <v>45901</v>
          </cell>
          <cell r="X91">
            <v>45901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A92">
            <v>90</v>
          </cell>
          <cell r="B92">
            <v>45897.801122685189</v>
          </cell>
          <cell r="C92" t="str">
            <v>Małgorzata Wróbel</v>
          </cell>
          <cell r="D92" t="str">
            <v>14-200 Frednowy</v>
          </cell>
          <cell r="E92" t="str">
            <v>Frednowy 54B</v>
          </cell>
          <cell r="F92">
            <v>80042107688</v>
          </cell>
          <cell r="G92">
            <v>48607120051</v>
          </cell>
          <cell r="H92" t="str">
            <v>mgw80@op.pl</v>
          </cell>
          <cell r="I92" t="str">
            <v>Alan Wróbel</v>
          </cell>
          <cell r="J92">
            <v>12</v>
          </cell>
          <cell r="K92" t="str">
            <v>Podstawowa</v>
          </cell>
          <cell r="L92">
            <v>6</v>
          </cell>
          <cell r="M92" t="str">
            <v>Język angielski</v>
          </cell>
          <cell r="N92">
            <v>0</v>
          </cell>
          <cell r="O92" t="str">
            <v>Tak (lub kolejny członek rodziny)</v>
          </cell>
          <cell r="P92">
            <v>1</v>
          </cell>
          <cell r="Q92">
            <v>0</v>
          </cell>
          <cell r="R92" t="str">
            <v>N</v>
          </cell>
          <cell r="S92" t="str">
            <v>N</v>
          </cell>
          <cell r="T92">
            <v>15</v>
          </cell>
          <cell r="U92" t="str">
            <v>Ix3</v>
          </cell>
          <cell r="V92">
            <v>64</v>
          </cell>
          <cell r="W92">
            <v>45901</v>
          </cell>
          <cell r="X92">
            <v>46235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A93">
            <v>91</v>
          </cell>
          <cell r="B93">
            <v>45897.865740740737</v>
          </cell>
          <cell r="C93" t="str">
            <v>Magdalena Nowak</v>
          </cell>
          <cell r="D93" t="str">
            <v>14-200 Wikielec</v>
          </cell>
          <cell r="E93" t="str">
            <v>Liliowa 14</v>
          </cell>
          <cell r="F93">
            <v>84040108610</v>
          </cell>
          <cell r="G93">
            <v>48724590466</v>
          </cell>
          <cell r="H93" t="str">
            <v>nowak.magdzia82@gmail.com</v>
          </cell>
          <cell r="I93" t="str">
            <v>Patryk Nowak</v>
          </cell>
          <cell r="J93">
            <v>15</v>
          </cell>
          <cell r="K93" t="str">
            <v>Średnia - liceum</v>
          </cell>
          <cell r="L93">
            <v>1</v>
          </cell>
          <cell r="M93" t="str">
            <v>Język angielski</v>
          </cell>
          <cell r="N93">
            <v>0</v>
          </cell>
          <cell r="O93" t="str">
            <v>Nie</v>
          </cell>
          <cell r="P93">
            <v>2</v>
          </cell>
          <cell r="Q93">
            <v>0</v>
          </cell>
          <cell r="R93" t="str">
            <v>N</v>
          </cell>
          <cell r="S93" t="str">
            <v>N</v>
          </cell>
          <cell r="T93">
            <v>5</v>
          </cell>
          <cell r="U93" t="str">
            <v>Z</v>
          </cell>
          <cell r="V93">
            <v>64</v>
          </cell>
          <cell r="W93">
            <v>45901</v>
          </cell>
          <cell r="X93" t="str">
            <v>maj 2026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>
            <v>92</v>
          </cell>
          <cell r="B94">
            <v>45897.868784722225</v>
          </cell>
          <cell r="C94" t="str">
            <v>Magdalena Nowak</v>
          </cell>
          <cell r="D94" t="str">
            <v>14-200 Wikielec</v>
          </cell>
          <cell r="E94" t="str">
            <v>Liliowa 14</v>
          </cell>
          <cell r="F94">
            <v>84040108610</v>
          </cell>
          <cell r="G94">
            <v>48724590466</v>
          </cell>
          <cell r="H94" t="str">
            <v>nowak.magdzia82@gmail.com</v>
          </cell>
          <cell r="I94" t="str">
            <v>Amelia Nowak</v>
          </cell>
          <cell r="J94">
            <v>14</v>
          </cell>
          <cell r="K94" t="str">
            <v>Podstawowa</v>
          </cell>
          <cell r="L94">
            <v>7</v>
          </cell>
          <cell r="M94" t="str">
            <v>Język angielski</v>
          </cell>
          <cell r="N94">
            <v>0</v>
          </cell>
          <cell r="O94" t="str">
            <v>Nie</v>
          </cell>
          <cell r="P94">
            <v>2</v>
          </cell>
          <cell r="Q94">
            <v>0</v>
          </cell>
          <cell r="R94" t="str">
            <v>N</v>
          </cell>
          <cell r="S94" t="str">
            <v>N</v>
          </cell>
          <cell r="T94">
            <v>5</v>
          </cell>
          <cell r="U94" t="str">
            <v>Z</v>
          </cell>
          <cell r="V94">
            <v>64</v>
          </cell>
          <cell r="W94">
            <v>45901</v>
          </cell>
          <cell r="X94" t="str">
            <v>maj 2026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>
            <v>93</v>
          </cell>
          <cell r="B95">
            <v>45897.881076388891</v>
          </cell>
          <cell r="C95" t="str">
            <v>Łukasz Nowak</v>
          </cell>
          <cell r="F95"/>
          <cell r="G95">
            <v>48695186363</v>
          </cell>
          <cell r="H95" t="str">
            <v>lukaszyk.nowak@gmail.com</v>
          </cell>
          <cell r="I95" t="str">
            <v>Amelia Nowak</v>
          </cell>
          <cell r="J95">
            <v>14</v>
          </cell>
          <cell r="K95" t="str">
            <v>Podstawowa</v>
          </cell>
          <cell r="L95">
            <v>7</v>
          </cell>
          <cell r="M95" t="str">
            <v>Język angielski</v>
          </cell>
          <cell r="N95">
            <v>0</v>
          </cell>
          <cell r="O95" t="str">
            <v>Nie</v>
          </cell>
          <cell r="P95">
            <v>1</v>
          </cell>
          <cell r="Q95">
            <v>0</v>
          </cell>
          <cell r="R95" t="str">
            <v>N</v>
          </cell>
          <cell r="S95" t="str">
            <v>N</v>
          </cell>
          <cell r="T95">
            <v>5</v>
          </cell>
          <cell r="U95" t="str">
            <v>Z</v>
          </cell>
          <cell r="V95">
            <v>64</v>
          </cell>
          <cell r="W95">
            <v>45901</v>
          </cell>
          <cell r="X95" t="str">
            <v>maj 2026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A96">
            <v>94</v>
          </cell>
          <cell r="B96">
            <v>45897.883136574077</v>
          </cell>
          <cell r="C96" t="str">
            <v>Adam Seroczyński</v>
          </cell>
          <cell r="D96" t="str">
            <v>14-260 Lubawa</v>
          </cell>
          <cell r="F96"/>
          <cell r="G96">
            <v>48698462163</v>
          </cell>
          <cell r="H96" t="str">
            <v>adam.seroczynski@inter.ikea.com</v>
          </cell>
          <cell r="I96" t="str">
            <v>Adam Seroczyński</v>
          </cell>
          <cell r="J96"/>
          <cell r="K96">
            <v>0</v>
          </cell>
          <cell r="L96">
            <v>0</v>
          </cell>
          <cell r="M96" t="str">
            <v>Język angielski</v>
          </cell>
          <cell r="N96">
            <v>0</v>
          </cell>
          <cell r="O96" t="str">
            <v>Nie</v>
          </cell>
          <cell r="P96">
            <v>1</v>
          </cell>
          <cell r="Q96">
            <v>0</v>
          </cell>
          <cell r="R96" t="str">
            <v>N</v>
          </cell>
          <cell r="S96" t="str">
            <v>N</v>
          </cell>
          <cell r="T96">
            <v>5</v>
          </cell>
          <cell r="U96" t="str">
            <v>Ix1</v>
          </cell>
          <cell r="V96">
            <v>30</v>
          </cell>
          <cell r="W96">
            <v>45931</v>
          </cell>
          <cell r="X96" t="str">
            <v>maj 2026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A97">
            <v>95</v>
          </cell>
          <cell r="B97">
            <v>45897.905231481483</v>
          </cell>
          <cell r="C97" t="str">
            <v>Aneta Miszewska</v>
          </cell>
          <cell r="D97" t="str">
            <v>14-202 Iława</v>
          </cell>
          <cell r="E97" t="str">
            <v>Gen. Maczka 16</v>
          </cell>
          <cell r="F97">
            <v>86103106120</v>
          </cell>
          <cell r="G97">
            <v>48665933221</v>
          </cell>
          <cell r="H97" t="str">
            <v>krzysztof-miszewski1@wp.pl</v>
          </cell>
          <cell r="I97" t="str">
            <v>Adam Miszewski</v>
          </cell>
          <cell r="J97">
            <v>13</v>
          </cell>
          <cell r="K97" t="str">
            <v>Podstawowa</v>
          </cell>
          <cell r="L97">
            <v>6</v>
          </cell>
          <cell r="M97" t="str">
            <v>Język angielski</v>
          </cell>
          <cell r="N97">
            <v>0</v>
          </cell>
          <cell r="O97" t="str">
            <v>Tak (lub kolejny członek rodziny)</v>
          </cell>
          <cell r="P97">
            <v>2</v>
          </cell>
          <cell r="Q97">
            <v>0</v>
          </cell>
          <cell r="R97" t="str">
            <v>N</v>
          </cell>
          <cell r="S97" t="str">
            <v>N</v>
          </cell>
          <cell r="T97">
            <v>15</v>
          </cell>
          <cell r="U97" t="str">
            <v>Ix3</v>
          </cell>
          <cell r="V97">
            <v>64</v>
          </cell>
          <cell r="W97">
            <v>45901</v>
          </cell>
          <cell r="X97">
            <v>45992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>
            <v>96</v>
          </cell>
          <cell r="B98">
            <v>45897.908333333333</v>
          </cell>
          <cell r="C98" t="str">
            <v>Aneta Miszewska</v>
          </cell>
          <cell r="D98" t="str">
            <v>14-202 Iława</v>
          </cell>
          <cell r="E98" t="str">
            <v>Gen. Maczka 16</v>
          </cell>
          <cell r="F98">
            <v>86103106120</v>
          </cell>
          <cell r="G98">
            <v>48665933221</v>
          </cell>
          <cell r="H98" t="str">
            <v>krzysztof-miszewski1@wp.pl</v>
          </cell>
          <cell r="I98" t="str">
            <v>Igor Miszewski</v>
          </cell>
          <cell r="J98">
            <v>14</v>
          </cell>
          <cell r="K98" t="str">
            <v>Podstawowa</v>
          </cell>
          <cell r="L98">
            <v>8</v>
          </cell>
          <cell r="M98" t="str">
            <v>Język angielski</v>
          </cell>
          <cell r="N98" t="str">
            <v>Ósmoklasisty</v>
          </cell>
          <cell r="O98" t="str">
            <v>Tak (lub kolejny członek rodziny)</v>
          </cell>
          <cell r="P98">
            <v>2</v>
          </cell>
          <cell r="Q98">
            <v>0</v>
          </cell>
          <cell r="R98" t="str">
            <v>N</v>
          </cell>
          <cell r="S98" t="str">
            <v>N</v>
          </cell>
          <cell r="T98">
            <v>15</v>
          </cell>
          <cell r="U98" t="str">
            <v>Ix3</v>
          </cell>
          <cell r="V98">
            <v>64</v>
          </cell>
          <cell r="W98">
            <v>45901</v>
          </cell>
          <cell r="X98">
            <v>45992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>
            <v>97</v>
          </cell>
          <cell r="B99">
            <v>45898.841724537036</v>
          </cell>
          <cell r="C99" t="str">
            <v>Krzysztof Jakielski</v>
          </cell>
          <cell r="D99" t="str">
            <v>14-200 Iława</v>
          </cell>
          <cell r="E99" t="str">
            <v>Frednowy 58</v>
          </cell>
          <cell r="F99">
            <v>77070110139</v>
          </cell>
          <cell r="G99">
            <v>48503131662</v>
          </cell>
          <cell r="H99" t="str">
            <v>krzysztofqjakielski@wp.pl</v>
          </cell>
          <cell r="I99" t="str">
            <v>Iwo Jakielski</v>
          </cell>
          <cell r="J99">
            <v>17</v>
          </cell>
          <cell r="K99" t="str">
            <v>Średnia - liceum</v>
          </cell>
          <cell r="L99">
            <v>3</v>
          </cell>
          <cell r="M99" t="str">
            <v>Język angielski</v>
          </cell>
          <cell r="N99">
            <v>0</v>
          </cell>
          <cell r="O99" t="str">
            <v>Tak (lub kolejny członek rodziny)</v>
          </cell>
          <cell r="P99">
            <v>1</v>
          </cell>
          <cell r="Q99">
            <v>0</v>
          </cell>
          <cell r="R99" t="str">
            <v>N</v>
          </cell>
          <cell r="S99" t="str">
            <v>N</v>
          </cell>
          <cell r="T99">
            <v>25</v>
          </cell>
          <cell r="U99" t="str">
            <v>Z</v>
          </cell>
          <cell r="V99">
            <v>64</v>
          </cell>
          <cell r="W99">
            <v>45901</v>
          </cell>
          <cell r="X99" t="str">
            <v>maj 2026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>
            <v>98</v>
          </cell>
          <cell r="B100">
            <v>45899.526388888888</v>
          </cell>
          <cell r="C100" t="str">
            <v>Ewa Trzebiatowska-Maciejko</v>
          </cell>
          <cell r="D100" t="str">
            <v>14-200 Iława</v>
          </cell>
          <cell r="E100" t="str">
            <v>Królowej Jadwigi 16A/6</v>
          </cell>
          <cell r="F100">
            <v>77062707989</v>
          </cell>
          <cell r="G100">
            <v>48665612602</v>
          </cell>
          <cell r="H100" t="str">
            <v>ewa7706@wp.pl</v>
          </cell>
          <cell r="I100" t="str">
            <v>Alicja Maciejko</v>
          </cell>
          <cell r="J100">
            <v>17</v>
          </cell>
          <cell r="K100" t="str">
            <v>Średnia - liceum</v>
          </cell>
          <cell r="L100">
            <v>3</v>
          </cell>
          <cell r="M100" t="str">
            <v>Język angielski</v>
          </cell>
          <cell r="N100">
            <v>0</v>
          </cell>
          <cell r="O100" t="str">
            <v>Tak (lub kolejny członek rodziny)</v>
          </cell>
          <cell r="P100">
            <v>1</v>
          </cell>
          <cell r="Q100">
            <v>0</v>
          </cell>
          <cell r="R100" t="str">
            <v>N</v>
          </cell>
          <cell r="S100" t="str">
            <v>N</v>
          </cell>
          <cell r="T100">
            <v>15</v>
          </cell>
          <cell r="U100" t="str">
            <v>Z</v>
          </cell>
          <cell r="V100">
            <v>64</v>
          </cell>
          <cell r="W100">
            <v>45901</v>
          </cell>
          <cell r="X100" t="str">
            <v>maj 2026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>
            <v>99</v>
          </cell>
          <cell r="B101">
            <v>45900.382650462961</v>
          </cell>
          <cell r="C101" t="str">
            <v>Karolina Kubańska</v>
          </cell>
          <cell r="D101" t="str">
            <v>14-200 Iława</v>
          </cell>
          <cell r="E101" t="str">
            <v>Zalewska 146</v>
          </cell>
          <cell r="F101">
            <v>92020402502</v>
          </cell>
          <cell r="G101">
            <v>48783496022</v>
          </cell>
          <cell r="H101" t="str">
            <v>kubanska.karolina@gmail.com</v>
          </cell>
          <cell r="I101" t="str">
            <v>Mieszko Kubański</v>
          </cell>
          <cell r="J101">
            <v>11</v>
          </cell>
          <cell r="K101" t="str">
            <v>Podstawowa</v>
          </cell>
          <cell r="L101">
            <v>5</v>
          </cell>
          <cell r="M101" t="str">
            <v>Język angielski</v>
          </cell>
          <cell r="N101">
            <v>0</v>
          </cell>
          <cell r="O101" t="str">
            <v>Nie</v>
          </cell>
          <cell r="P101">
            <v>1</v>
          </cell>
          <cell r="Q101">
            <v>0</v>
          </cell>
          <cell r="R101" t="str">
            <v>N</v>
          </cell>
          <cell r="S101" t="str">
            <v>N</v>
          </cell>
          <cell r="T101">
            <v>15</v>
          </cell>
          <cell r="U101" t="str">
            <v>Z</v>
          </cell>
          <cell r="V101">
            <v>64</v>
          </cell>
          <cell r="W101">
            <v>45901</v>
          </cell>
          <cell r="X101" t="str">
            <v>maj 2026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>
            <v>100</v>
          </cell>
          <cell r="B102">
            <v>45900.465046296296</v>
          </cell>
          <cell r="C102" t="str">
            <v>Magdalena Getka</v>
          </cell>
          <cell r="D102" t="str">
            <v>14-200 Iława</v>
          </cell>
          <cell r="E102" t="str">
            <v>sklodowska 23c 23/c</v>
          </cell>
          <cell r="F102">
            <v>78031708305</v>
          </cell>
          <cell r="G102">
            <v>48505047987</v>
          </cell>
          <cell r="H102" t="str">
            <v>superdekoratornia@wp.pl</v>
          </cell>
          <cell r="I102" t="str">
            <v>Mikołaj Puchalski</v>
          </cell>
          <cell r="J102">
            <v>13</v>
          </cell>
          <cell r="K102" t="str">
            <v>Podstawowa</v>
          </cell>
          <cell r="L102">
            <v>6</v>
          </cell>
          <cell r="M102" t="str">
            <v>Język angielski</v>
          </cell>
          <cell r="N102">
            <v>0</v>
          </cell>
          <cell r="O102" t="str">
            <v>Nie</v>
          </cell>
          <cell r="P102">
            <v>2</v>
          </cell>
          <cell r="Q102">
            <v>0</v>
          </cell>
          <cell r="R102" t="str">
            <v>N</v>
          </cell>
          <cell r="S102" t="str">
            <v>N</v>
          </cell>
          <cell r="T102">
            <v>5</v>
          </cell>
          <cell r="U102" t="str">
            <v>Z</v>
          </cell>
          <cell r="V102">
            <v>64</v>
          </cell>
          <cell r="W102">
            <v>45901</v>
          </cell>
          <cell r="X102" t="str">
            <v>maj 2026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>
            <v>101</v>
          </cell>
          <cell r="B103">
            <v>45901.712731481479</v>
          </cell>
          <cell r="C103" t="str">
            <v>MAGDALENA Józefowicz</v>
          </cell>
          <cell r="D103"/>
          <cell r="E103"/>
          <cell r="F103"/>
          <cell r="G103">
            <v>48669352866</v>
          </cell>
          <cell r="H103" t="str">
            <v>tuptus44@wp.pl</v>
          </cell>
          <cell r="I103" t="str">
            <v>ZOFIA LESZCZYŃSKA</v>
          </cell>
          <cell r="J103">
            <v>7</v>
          </cell>
          <cell r="K103" t="str">
            <v>Podstawowa</v>
          </cell>
          <cell r="L103">
            <v>1</v>
          </cell>
          <cell r="M103" t="str">
            <v>Język angielski</v>
          </cell>
          <cell r="N103">
            <v>0</v>
          </cell>
          <cell r="O103" t="str">
            <v>Nie</v>
          </cell>
          <cell r="P103">
            <v>1</v>
          </cell>
          <cell r="Q103">
            <v>0</v>
          </cell>
          <cell r="R103" t="str">
            <v>N</v>
          </cell>
          <cell r="S103" t="str">
            <v>N</v>
          </cell>
          <cell r="T103">
            <v>15</v>
          </cell>
          <cell r="U103" t="str">
            <v>Ix2</v>
          </cell>
          <cell r="V103">
            <v>64</v>
          </cell>
          <cell r="W103">
            <v>45901</v>
          </cell>
          <cell r="X103" t="str">
            <v>maj 2026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>
            <v>103</v>
          </cell>
          <cell r="B104">
            <v>45901.728020833332</v>
          </cell>
          <cell r="C104" t="str">
            <v>Katarzyna Tasarz</v>
          </cell>
          <cell r="D104" t="str">
            <v>14-200 Iława</v>
          </cell>
          <cell r="E104" t="str">
            <v>Narutowicza 1/14</v>
          </cell>
          <cell r="F104">
            <v>81050107602</v>
          </cell>
          <cell r="G104">
            <v>48695306035</v>
          </cell>
          <cell r="H104" t="str">
            <v>kasiatasarz32@gmail.com</v>
          </cell>
          <cell r="I104" t="str">
            <v>Marcel Anflik</v>
          </cell>
          <cell r="J104">
            <v>16</v>
          </cell>
          <cell r="K104" t="str">
            <v>Średnia - technikum</v>
          </cell>
          <cell r="L104">
            <v>2</v>
          </cell>
          <cell r="M104" t="str">
            <v>Język angielski</v>
          </cell>
          <cell r="N104">
            <v>0</v>
          </cell>
          <cell r="O104" t="str">
            <v>Tak (lub kolejny członek rodziny)</v>
          </cell>
          <cell r="P104">
            <v>1</v>
          </cell>
          <cell r="Q104" t="str">
            <v>028/2025</v>
          </cell>
          <cell r="R104" t="str">
            <v>N</v>
          </cell>
          <cell r="S104" t="str">
            <v>N</v>
          </cell>
          <cell r="T104">
            <v>15</v>
          </cell>
          <cell r="U104" t="str">
            <v>Z</v>
          </cell>
          <cell r="V104">
            <v>64</v>
          </cell>
          <cell r="W104">
            <v>45901</v>
          </cell>
          <cell r="X104">
            <v>46174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>
            <v>104</v>
          </cell>
          <cell r="B105">
            <v>45902.894016203703</v>
          </cell>
          <cell r="C105" t="str">
            <v>Anna Warmińska</v>
          </cell>
          <cell r="D105" t="str">
            <v>87-313 Brzozie</v>
          </cell>
          <cell r="E105" t="str">
            <v>Brzozie 169</v>
          </cell>
          <cell r="F105">
            <v>85121310302</v>
          </cell>
          <cell r="G105">
            <v>48503054169</v>
          </cell>
          <cell r="H105" t="str">
            <v>aniaanna1@o2.pl</v>
          </cell>
          <cell r="I105" t="str">
            <v>Zuzanna Warmińska</v>
          </cell>
          <cell r="J105">
            <v>10</v>
          </cell>
          <cell r="K105" t="str">
            <v>Podstawowa</v>
          </cell>
          <cell r="L105">
            <v>3</v>
          </cell>
          <cell r="M105" t="str">
            <v>Język angielski</v>
          </cell>
          <cell r="N105">
            <v>0</v>
          </cell>
          <cell r="O105" t="str">
            <v>Tak (lub kolejny członek rodziny)</v>
          </cell>
          <cell r="P105">
            <v>2</v>
          </cell>
          <cell r="Q105" t="str">
            <v>042/2025</v>
          </cell>
          <cell r="R105" t="str">
            <v>N</v>
          </cell>
          <cell r="S105" t="str">
            <v>N</v>
          </cell>
          <cell r="T105">
            <v>5</v>
          </cell>
          <cell r="U105" t="str">
            <v>Z</v>
          </cell>
          <cell r="V105">
            <v>64</v>
          </cell>
          <cell r="W105">
            <v>45931</v>
          </cell>
          <cell r="X105" t="str">
            <v>maj 2026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>
            <v>105</v>
          </cell>
          <cell r="B106">
            <v>45903.556712962964</v>
          </cell>
          <cell r="C106" t="str">
            <v>Tomasz Kaczyński</v>
          </cell>
          <cell r="D106" t="str">
            <v>14-200 Iława</v>
          </cell>
          <cell r="E106" t="str">
            <v>Tadeusza Kościuszki 16/22</v>
          </cell>
          <cell r="F106">
            <v>80092608559</v>
          </cell>
          <cell r="G106">
            <v>48664304727</v>
          </cell>
          <cell r="H106" t="str">
            <v>syla117@op.pl</v>
          </cell>
          <cell r="I106" t="str">
            <v>Oliwia Kaczyńska</v>
          </cell>
          <cell r="J106">
            <v>18</v>
          </cell>
          <cell r="K106" t="str">
            <v>Średnia - liceum</v>
          </cell>
          <cell r="L106">
            <v>4</v>
          </cell>
          <cell r="M106" t="str">
            <v>Matematyka</v>
          </cell>
          <cell r="N106" t="str">
            <v>Maturalny</v>
          </cell>
          <cell r="O106" t="str">
            <v>Nie</v>
          </cell>
          <cell r="P106">
            <v>1</v>
          </cell>
          <cell r="Q106">
            <v>0</v>
          </cell>
          <cell r="R106" t="str">
            <v>N</v>
          </cell>
          <cell r="S106" t="str">
            <v>N</v>
          </cell>
          <cell r="T106">
            <v>25</v>
          </cell>
          <cell r="U106" t="str">
            <v>Ix3</v>
          </cell>
          <cell r="V106">
            <v>33</v>
          </cell>
          <cell r="W106">
            <v>45901</v>
          </cell>
          <cell r="X106">
            <v>46113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>
            <v>106</v>
          </cell>
          <cell r="B107">
            <v>45903.886805555558</v>
          </cell>
          <cell r="C107" t="str">
            <v>Edyta Lewandowska</v>
          </cell>
          <cell r="D107" t="str">
            <v>14-200 Laseczno</v>
          </cell>
          <cell r="E107" t="str">
            <v>Laseczno 54/A</v>
          </cell>
          <cell r="F107">
            <v>86093007885</v>
          </cell>
          <cell r="G107">
            <v>48785589007</v>
          </cell>
          <cell r="H107" t="str">
            <v>lewandowskae48@gmail.com</v>
          </cell>
          <cell r="I107" t="str">
            <v>Maja Żmudzińska</v>
          </cell>
          <cell r="J107">
            <v>16</v>
          </cell>
          <cell r="K107" t="str">
            <v>Średnia - liceum</v>
          </cell>
          <cell r="L107">
            <v>2</v>
          </cell>
          <cell r="M107" t="str">
            <v>Język angielski</v>
          </cell>
          <cell r="N107">
            <v>0</v>
          </cell>
          <cell r="O107" t="str">
            <v>Nie</v>
          </cell>
          <cell r="P107">
            <v>1</v>
          </cell>
          <cell r="Q107">
            <v>0</v>
          </cell>
          <cell r="R107" t="str">
            <v>N</v>
          </cell>
          <cell r="S107" t="str">
            <v>N</v>
          </cell>
          <cell r="T107">
            <v>5</v>
          </cell>
          <cell r="U107" t="str">
            <v>Z</v>
          </cell>
          <cell r="V107">
            <v>64</v>
          </cell>
          <cell r="W107">
            <v>45931</v>
          </cell>
          <cell r="X107">
            <v>46174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>
            <v>107</v>
          </cell>
          <cell r="B108">
            <v>45904.697627314818</v>
          </cell>
          <cell r="C108" t="str">
            <v>Ewa Kacperska</v>
          </cell>
          <cell r="D108" t="str">
            <v>14-200 Iława</v>
          </cell>
          <cell r="E108" t="str">
            <v>Szeptyckiego 4/24</v>
          </cell>
          <cell r="F108">
            <v>83103110844</v>
          </cell>
          <cell r="G108">
            <v>48693138318</v>
          </cell>
          <cell r="H108" t="str">
            <v>paintbreak@wp.pl</v>
          </cell>
          <cell r="I108" t="str">
            <v>Ewa Kacperska</v>
          </cell>
          <cell r="J108">
            <v>0</v>
          </cell>
          <cell r="K108">
            <v>0</v>
          </cell>
          <cell r="L108">
            <v>0</v>
          </cell>
          <cell r="M108" t="str">
            <v>Język angielski</v>
          </cell>
          <cell r="N108">
            <v>0</v>
          </cell>
          <cell r="O108" t="str">
            <v>Nie</v>
          </cell>
          <cell r="P108">
            <v>1</v>
          </cell>
          <cell r="Q108">
            <v>0</v>
          </cell>
          <cell r="R108" t="str">
            <v>N</v>
          </cell>
          <cell r="S108" t="str">
            <v>N</v>
          </cell>
          <cell r="T108">
            <v>15</v>
          </cell>
          <cell r="U108" t="str">
            <v>Ix2</v>
          </cell>
          <cell r="V108">
            <v>33</v>
          </cell>
          <cell r="W108">
            <v>45931</v>
          </cell>
          <cell r="X108">
            <v>46235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</row>
        <row r="109">
          <cell r="A109">
            <v>108</v>
          </cell>
          <cell r="B109">
            <v>45905.312476851854</v>
          </cell>
          <cell r="C109" t="str">
            <v>Anna Tykarska</v>
          </cell>
          <cell r="D109" t="str">
            <v>14-260 Lubawa</v>
          </cell>
          <cell r="E109" t="str">
            <v>Rzepnikowskiego 54</v>
          </cell>
          <cell r="F109">
            <v>85101512368</v>
          </cell>
          <cell r="G109">
            <v>48604210426</v>
          </cell>
          <cell r="H109" t="str">
            <v>A.niesiobedzka@gmail.com</v>
          </cell>
          <cell r="I109" t="str">
            <v>Wiktor Tykarski</v>
          </cell>
          <cell r="J109">
            <v>12</v>
          </cell>
          <cell r="K109" t="str">
            <v>Podstawowa</v>
          </cell>
          <cell r="L109">
            <v>6</v>
          </cell>
          <cell r="M109" t="str">
            <v>Język angielski</v>
          </cell>
          <cell r="N109">
            <v>0</v>
          </cell>
          <cell r="O109" t="str">
            <v>Tak (lub kolejny członek rodziny)</v>
          </cell>
          <cell r="P109">
            <v>1</v>
          </cell>
          <cell r="Q109">
            <v>0</v>
          </cell>
          <cell r="R109" t="str">
            <v>N</v>
          </cell>
          <cell r="S109" t="str">
            <v>N</v>
          </cell>
          <cell r="T109">
            <v>15</v>
          </cell>
          <cell r="U109" t="str">
            <v>Ix1</v>
          </cell>
          <cell r="V109">
            <v>33</v>
          </cell>
          <cell r="W109">
            <v>45901</v>
          </cell>
          <cell r="X109" t="str">
            <v>maj 2026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>
            <v>109</v>
          </cell>
          <cell r="B110">
            <v>45905.687824074077</v>
          </cell>
          <cell r="C110" t="str">
            <v>Katarzyna Tatarek</v>
          </cell>
          <cell r="D110" t="str">
            <v>14-200 Iława</v>
          </cell>
          <cell r="E110" t="str">
            <v>Bolesława śmiałego 4</v>
          </cell>
          <cell r="F110">
            <v>81111915645</v>
          </cell>
          <cell r="G110">
            <v>48607886623</v>
          </cell>
          <cell r="H110" t="str">
            <v>kasiatatarek@o2.pl</v>
          </cell>
          <cell r="I110" t="str">
            <v>Natalia Tatarek</v>
          </cell>
          <cell r="J110">
            <v>11</v>
          </cell>
          <cell r="K110" t="str">
            <v>Podstawowa</v>
          </cell>
          <cell r="L110">
            <v>5</v>
          </cell>
          <cell r="M110" t="str">
            <v>Język angielski</v>
          </cell>
          <cell r="N110">
            <v>0</v>
          </cell>
          <cell r="O110" t="str">
            <v>Nie</v>
          </cell>
          <cell r="P110">
            <v>1</v>
          </cell>
          <cell r="Q110">
            <v>0</v>
          </cell>
          <cell r="R110" t="str">
            <v>N</v>
          </cell>
          <cell r="S110" t="str">
            <v>N</v>
          </cell>
          <cell r="T110">
            <v>5</v>
          </cell>
          <cell r="U110" t="str">
            <v>Ix3</v>
          </cell>
          <cell r="V110">
            <v>33</v>
          </cell>
          <cell r="W110">
            <v>45901</v>
          </cell>
          <cell r="X110" t="str">
            <v>maj 2026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A111">
            <v>110</v>
          </cell>
          <cell r="B111">
            <v>45907.640729166669</v>
          </cell>
          <cell r="C111" t="str">
            <v>Marta Karbowska</v>
          </cell>
          <cell r="D111" t="str">
            <v>14-200 Iława</v>
          </cell>
          <cell r="E111" t="str">
            <v>Sikorskiego 27</v>
          </cell>
          <cell r="F111">
            <v>81082808382</v>
          </cell>
          <cell r="G111">
            <v>48691494955</v>
          </cell>
          <cell r="H111" t="str">
            <v>marta.karbowska@interia.pl</v>
          </cell>
          <cell r="I111" t="str">
            <v>Dominika Karbowska</v>
          </cell>
          <cell r="J111">
            <v>18</v>
          </cell>
          <cell r="K111" t="str">
            <v>Średnia - liceum</v>
          </cell>
          <cell r="L111">
            <v>4</v>
          </cell>
          <cell r="M111" t="str">
            <v>Język angielski</v>
          </cell>
          <cell r="N111" t="str">
            <v>Maturalny</v>
          </cell>
          <cell r="O111" t="str">
            <v>Tak (lub kolejny członek rodziny)</v>
          </cell>
          <cell r="P111">
            <v>1</v>
          </cell>
          <cell r="Q111">
            <v>0</v>
          </cell>
          <cell r="R111" t="str">
            <v>N</v>
          </cell>
          <cell r="S111" t="str">
            <v>N</v>
          </cell>
          <cell r="T111">
            <v>15</v>
          </cell>
          <cell r="U111" t="str">
            <v>Z</v>
          </cell>
          <cell r="V111">
            <v>58</v>
          </cell>
          <cell r="W111">
            <v>45901</v>
          </cell>
          <cell r="X111">
            <v>46113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>
            <v>111</v>
          </cell>
          <cell r="B112">
            <v>45908.433877314812</v>
          </cell>
          <cell r="C112" t="str">
            <v>Alina Hetnar-Wójcicka</v>
          </cell>
          <cell r="D112" t="str">
            <v>14-200 Iława</v>
          </cell>
          <cell r="E112" t="str">
            <v>Piastowska 4/41</v>
          </cell>
          <cell r="F112">
            <v>78122412845</v>
          </cell>
          <cell r="G112">
            <v>48669231289</v>
          </cell>
          <cell r="H112" t="str">
            <v>hetnarka@tlen.pl</v>
          </cell>
          <cell r="I112" t="str">
            <v>Mateusz Hetnar-Wójcicki</v>
          </cell>
          <cell r="J112">
            <v>14</v>
          </cell>
          <cell r="K112" t="str">
            <v>Średnia - technikum</v>
          </cell>
          <cell r="L112">
            <v>1</v>
          </cell>
          <cell r="M112" t="str">
            <v>Matematyka</v>
          </cell>
          <cell r="N112">
            <v>0</v>
          </cell>
          <cell r="O112" t="str">
            <v>Tak (lub kolejny członek rodziny)</v>
          </cell>
          <cell r="P112">
            <v>2</v>
          </cell>
          <cell r="Q112">
            <v>0</v>
          </cell>
          <cell r="R112" t="str">
            <v>N</v>
          </cell>
          <cell r="S112" t="str">
            <v>N</v>
          </cell>
          <cell r="T112">
            <v>15</v>
          </cell>
          <cell r="U112" t="str">
            <v>Z</v>
          </cell>
          <cell r="V112">
            <v>64</v>
          </cell>
          <cell r="W112">
            <v>45901</v>
          </cell>
          <cell r="X112" t="str">
            <v>maj 2026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>
            <v>112</v>
          </cell>
          <cell r="B113">
            <v>45908.644571759258</v>
          </cell>
          <cell r="C113" t="str">
            <v>Joanna Dumkiewicz</v>
          </cell>
          <cell r="D113" t="str">
            <v>14-260 Susz</v>
          </cell>
          <cell r="E113" t="str">
            <v>Adamowo 18M</v>
          </cell>
          <cell r="F113">
            <v>81060214587</v>
          </cell>
          <cell r="G113">
            <v>48602716135</v>
          </cell>
          <cell r="H113" t="str">
            <v>joanna624@op.pl</v>
          </cell>
          <cell r="I113" t="str">
            <v>Weronika Dumkiewicz</v>
          </cell>
          <cell r="J113">
            <v>18</v>
          </cell>
          <cell r="K113" t="str">
            <v>Średnia - technikum</v>
          </cell>
          <cell r="L113">
            <v>4</v>
          </cell>
          <cell r="M113" t="str">
            <v>Język angielski</v>
          </cell>
          <cell r="N113" t="str">
            <v>Maturalny</v>
          </cell>
          <cell r="O113" t="str">
            <v>Nie</v>
          </cell>
          <cell r="P113">
            <v>1</v>
          </cell>
          <cell r="Q113">
            <v>0</v>
          </cell>
          <cell r="R113" t="str">
            <v>N</v>
          </cell>
          <cell r="S113" t="str">
            <v>N</v>
          </cell>
          <cell r="T113">
            <v>25</v>
          </cell>
          <cell r="U113" t="str">
            <v>Ix1</v>
          </cell>
          <cell r="V113">
            <v>33</v>
          </cell>
          <cell r="W113">
            <v>45901</v>
          </cell>
          <cell r="X113">
            <v>46174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</row>
        <row r="114">
          <cell r="A114">
            <v>113</v>
          </cell>
          <cell r="B114">
            <v>45909.396365740744</v>
          </cell>
          <cell r="C114" t="str">
            <v>Magdalena Szcześniak</v>
          </cell>
          <cell r="D114" t="str">
            <v>14-200 Iława</v>
          </cell>
          <cell r="E114" t="str">
            <v>Kopernika 4C, 28</v>
          </cell>
          <cell r="F114">
            <v>79030711927</v>
          </cell>
          <cell r="G114">
            <v>48785048821</v>
          </cell>
          <cell r="H114" t="str">
            <v>magda-sep@wp.pl</v>
          </cell>
          <cell r="I114" t="str">
            <v>Paulina Szcześniak</v>
          </cell>
          <cell r="J114">
            <v>15</v>
          </cell>
          <cell r="K114" t="str">
            <v>Podstawowa</v>
          </cell>
          <cell r="L114">
            <v>8</v>
          </cell>
          <cell r="M114" t="str">
            <v>Język angielski</v>
          </cell>
          <cell r="N114" t="str">
            <v>Ósmoklasisty</v>
          </cell>
          <cell r="O114" t="str">
            <v>Nie</v>
          </cell>
          <cell r="P114">
            <v>1</v>
          </cell>
          <cell r="Q114">
            <v>0</v>
          </cell>
          <cell r="R114" t="str">
            <v>N</v>
          </cell>
          <cell r="S114" t="str">
            <v>N</v>
          </cell>
          <cell r="T114">
            <v>15</v>
          </cell>
          <cell r="U114" t="str">
            <v>Ix1</v>
          </cell>
          <cell r="V114">
            <v>33</v>
          </cell>
          <cell r="W114">
            <v>45901</v>
          </cell>
          <cell r="X114" t="str">
            <v>maj 2026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5">
          <cell r="A115">
            <v>114</v>
          </cell>
          <cell r="B115">
            <v>45909.653263888889</v>
          </cell>
          <cell r="C115" t="str">
            <v>ANNA Gaj</v>
          </cell>
          <cell r="D115" t="str">
            <v>14-200 Iława</v>
          </cell>
          <cell r="E115" t="str">
            <v>KSIĘŻYCOWA 13</v>
          </cell>
          <cell r="F115">
            <v>81120708742</v>
          </cell>
          <cell r="G115">
            <v>48501139084</v>
          </cell>
          <cell r="H115" t="str">
            <v>kinia2781@wp.pl</v>
          </cell>
          <cell r="I115" t="str">
            <v>IGA GAJ</v>
          </cell>
          <cell r="J115">
            <v>10</v>
          </cell>
          <cell r="K115" t="str">
            <v>Podstawowa</v>
          </cell>
          <cell r="L115">
            <v>4</v>
          </cell>
          <cell r="M115" t="str">
            <v>Język angielski</v>
          </cell>
          <cell r="N115">
            <v>0</v>
          </cell>
          <cell r="O115" t="str">
            <v>Nie</v>
          </cell>
          <cell r="P115">
            <v>1</v>
          </cell>
          <cell r="Q115">
            <v>0</v>
          </cell>
          <cell r="R115" t="str">
            <v>N</v>
          </cell>
          <cell r="S115" t="str">
            <v>N</v>
          </cell>
          <cell r="T115">
            <v>15</v>
          </cell>
          <cell r="U115" t="str">
            <v>Z</v>
          </cell>
          <cell r="V115">
            <v>64</v>
          </cell>
          <cell r="W115">
            <v>45901</v>
          </cell>
          <cell r="X115">
            <v>46174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A116">
            <v>115</v>
          </cell>
          <cell r="B116">
            <v>45911.520069444443</v>
          </cell>
          <cell r="C116" t="str">
            <v>Justyna Matukiewicz</v>
          </cell>
          <cell r="D116" t="str">
            <v>13-300 Pacółtowo</v>
          </cell>
          <cell r="E116" t="str">
            <v>Waraksiewicza 9</v>
          </cell>
          <cell r="F116">
            <v>86041612868</v>
          </cell>
          <cell r="G116">
            <v>48508256610</v>
          </cell>
          <cell r="H116" t="str">
            <v>justyna.matukiewicz@op.pl</v>
          </cell>
          <cell r="I116" t="str">
            <v>Krystian Matukiewicz</v>
          </cell>
          <cell r="J116">
            <v>12</v>
          </cell>
          <cell r="K116" t="str">
            <v>Podstawowa</v>
          </cell>
          <cell r="L116">
            <v>5</v>
          </cell>
          <cell r="M116" t="str">
            <v>Język angielski</v>
          </cell>
          <cell r="N116">
            <v>0</v>
          </cell>
          <cell r="O116" t="str">
            <v>Tak (lub kolejny członek rodziny)</v>
          </cell>
          <cell r="P116">
            <v>1</v>
          </cell>
          <cell r="Q116" t="str">
            <v>041/2025</v>
          </cell>
          <cell r="R116" t="str">
            <v>N</v>
          </cell>
          <cell r="S116" t="str">
            <v>N</v>
          </cell>
          <cell r="T116">
            <v>15</v>
          </cell>
          <cell r="U116" t="str">
            <v>Z</v>
          </cell>
          <cell r="V116">
            <v>0</v>
          </cell>
          <cell r="W116">
            <v>45901</v>
          </cell>
          <cell r="X116" t="str">
            <v>maj 2026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>
            <v>116</v>
          </cell>
          <cell r="B117">
            <v>45912.415520833332</v>
          </cell>
          <cell r="C117" t="str">
            <v>Milena Mościcka</v>
          </cell>
          <cell r="D117" t="str">
            <v>14-202 Iława</v>
          </cell>
          <cell r="E117" t="str">
            <v>doktora Teofila Rzepnikowskiego 10</v>
          </cell>
          <cell r="F117">
            <v>86091717148</v>
          </cell>
          <cell r="G117">
            <v>48503803757</v>
          </cell>
          <cell r="H117" t="str">
            <v>cymerka@gmail.com</v>
          </cell>
          <cell r="I117" t="str">
            <v>Oliwia Mościcka</v>
          </cell>
          <cell r="J117">
            <v>12</v>
          </cell>
          <cell r="K117" t="str">
            <v>Podstawowa</v>
          </cell>
          <cell r="L117">
            <v>5</v>
          </cell>
          <cell r="M117" t="str">
            <v>Język angielski</v>
          </cell>
          <cell r="N117">
            <v>0</v>
          </cell>
          <cell r="O117" t="str">
            <v>Nie</v>
          </cell>
          <cell r="P117">
            <v>1</v>
          </cell>
          <cell r="Q117">
            <v>0</v>
          </cell>
          <cell r="R117" t="str">
            <v>N</v>
          </cell>
          <cell r="S117" t="str">
            <v>N</v>
          </cell>
          <cell r="T117">
            <v>15</v>
          </cell>
          <cell r="U117" t="str">
            <v>Ix1</v>
          </cell>
          <cell r="V117">
            <v>0</v>
          </cell>
          <cell r="W117">
            <v>45931</v>
          </cell>
          <cell r="X117">
            <v>46174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8">
          <cell r="A118">
            <v>117</v>
          </cell>
          <cell r="B118">
            <v>45912.671203703707</v>
          </cell>
          <cell r="C118" t="str">
            <v>Ewelina Ulias</v>
          </cell>
          <cell r="D118" t="str">
            <v>13-300 PACÓŁTOWO</v>
          </cell>
          <cell r="E118" t="str">
            <v>BERLINEK 8</v>
          </cell>
          <cell r="F118">
            <v>84012913466</v>
          </cell>
          <cell r="G118">
            <v>48662273681</v>
          </cell>
          <cell r="H118" t="str">
            <v>e.wisniewska_ziemar@op.pl</v>
          </cell>
          <cell r="I118" t="str">
            <v>Karina Ulias-Ziejewska</v>
          </cell>
          <cell r="J118">
            <v>11</v>
          </cell>
          <cell r="K118" t="str">
            <v>Podstawowa</v>
          </cell>
          <cell r="L118">
            <v>5</v>
          </cell>
          <cell r="M118" t="str">
            <v>Język angielski</v>
          </cell>
          <cell r="N118">
            <v>0</v>
          </cell>
          <cell r="O118" t="str">
            <v>Tak (lub kolejny członek rodziny)</v>
          </cell>
          <cell r="P118">
            <v>1</v>
          </cell>
          <cell r="Q118" t="str">
            <v>038/2025</v>
          </cell>
          <cell r="R118" t="str">
            <v>N</v>
          </cell>
          <cell r="S118" t="str">
            <v>N</v>
          </cell>
          <cell r="T118">
            <v>15</v>
          </cell>
          <cell r="U118" t="str">
            <v>Z</v>
          </cell>
          <cell r="V118">
            <v>0</v>
          </cell>
          <cell r="W118">
            <v>45901</v>
          </cell>
          <cell r="X118" t="str">
            <v>maj 2026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9">
          <cell r="A119">
            <v>118</v>
          </cell>
          <cell r="B119">
            <v>0</v>
          </cell>
          <cell r="C119" t="str">
            <v>Wioletta Borucka</v>
          </cell>
          <cell r="D119" t="str">
            <v>14-200 Iława</v>
          </cell>
          <cell r="E119" t="str">
            <v>Przemysłowa 2a</v>
          </cell>
          <cell r="F119">
            <v>80040912608</v>
          </cell>
          <cell r="G119">
            <v>48502620559</v>
          </cell>
          <cell r="H119" t="str">
            <v>Wiolab0@op.pl</v>
          </cell>
          <cell r="I119" t="str">
            <v>Julia Borucka</v>
          </cell>
          <cell r="J119">
            <v>19</v>
          </cell>
          <cell r="K119" t="str">
            <v>Średnia - liceum</v>
          </cell>
          <cell r="L119">
            <v>4</v>
          </cell>
          <cell r="M119" t="str">
            <v>Język angielski</v>
          </cell>
          <cell r="N119" t="str">
            <v>Maturalny</v>
          </cell>
          <cell r="O119" t="str">
            <v>Tak (lub kolejny członek rodziny)</v>
          </cell>
          <cell r="P119">
            <v>1</v>
          </cell>
          <cell r="Q119" t="str">
            <v>031/2025</v>
          </cell>
          <cell r="R119" t="str">
            <v>N</v>
          </cell>
          <cell r="S119" t="str">
            <v>N</v>
          </cell>
          <cell r="T119">
            <v>25</v>
          </cell>
          <cell r="U119" t="str">
            <v>Z</v>
          </cell>
          <cell r="V119">
            <v>0</v>
          </cell>
          <cell r="W119">
            <v>45901</v>
          </cell>
          <cell r="X119" t="str">
            <v>maj 2026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A120">
            <v>119</v>
          </cell>
          <cell r="B120">
            <v>45916.41746527778</v>
          </cell>
          <cell r="C120" t="str">
            <v>Kamilla Templin</v>
          </cell>
          <cell r="D120" t="str">
            <v>13-306 Kurzętnik</v>
          </cell>
          <cell r="E120" t="str">
            <v>Żurawia 8</v>
          </cell>
          <cell r="F120">
            <v>82111813186</v>
          </cell>
          <cell r="G120">
            <v>48600280927</v>
          </cell>
          <cell r="H120" t="str">
            <v>kamciamal@vp.pl</v>
          </cell>
          <cell r="I120" t="str">
            <v>Magdalena Templin</v>
          </cell>
          <cell r="J120">
            <v>13</v>
          </cell>
          <cell r="K120" t="str">
            <v>Podstawowa</v>
          </cell>
          <cell r="L120">
            <v>7</v>
          </cell>
          <cell r="M120" t="str">
            <v>Język angielski</v>
          </cell>
          <cell r="N120" t="str">
            <v>Ósmoklasisty</v>
          </cell>
          <cell r="O120" t="str">
            <v>Nie</v>
          </cell>
          <cell r="P120">
            <v>1</v>
          </cell>
          <cell r="Q120">
            <v>0</v>
          </cell>
          <cell r="R120" t="str">
            <v>N</v>
          </cell>
          <cell r="S120" t="str">
            <v>N</v>
          </cell>
          <cell r="T120">
            <v>25</v>
          </cell>
          <cell r="U120" t="str">
            <v>Z</v>
          </cell>
          <cell r="V120">
            <v>0</v>
          </cell>
          <cell r="W120">
            <v>45901</v>
          </cell>
          <cell r="X120" t="str">
            <v>maj 2026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A121">
            <v>120</v>
          </cell>
          <cell r="B121">
            <v>45926.588680555556</v>
          </cell>
          <cell r="C121" t="str">
            <v>Bożena Chrapkowska</v>
          </cell>
          <cell r="D121" t="str">
            <v>14-200 Iława</v>
          </cell>
          <cell r="E121" t="str">
            <v>Chełmońskiego 10</v>
          </cell>
          <cell r="F121">
            <v>63051112025</v>
          </cell>
          <cell r="G121">
            <v>48697570511</v>
          </cell>
          <cell r="H121" t="str">
            <v>bchrapkowska@wp.pl</v>
          </cell>
          <cell r="I121" t="str">
            <v>Bożena Chrapkowska</v>
          </cell>
          <cell r="J121">
            <v>0</v>
          </cell>
          <cell r="K121">
            <v>0</v>
          </cell>
          <cell r="L121">
            <v>0</v>
          </cell>
          <cell r="M121" t="str">
            <v>Język angielski</v>
          </cell>
          <cell r="N121">
            <v>0</v>
          </cell>
          <cell r="O121" t="str">
            <v>Nie</v>
          </cell>
          <cell r="P121">
            <v>1</v>
          </cell>
          <cell r="Q121">
            <v>0</v>
          </cell>
          <cell r="R121" t="str">
            <v>N</v>
          </cell>
          <cell r="S121" t="str">
            <v>N</v>
          </cell>
          <cell r="T121">
            <v>5</v>
          </cell>
          <cell r="U121" t="str">
            <v>Ix3</v>
          </cell>
          <cell r="V121">
            <v>0</v>
          </cell>
          <cell r="W121">
            <v>45931</v>
          </cell>
          <cell r="X121" t="str">
            <v>maj 2026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>
            <v>121</v>
          </cell>
          <cell r="B122">
            <v>45929.563611111109</v>
          </cell>
          <cell r="C122" t="str">
            <v>Joanna Więczkowska</v>
          </cell>
          <cell r="D122" t="str">
            <v>14-200 Iława</v>
          </cell>
          <cell r="E122" t="str">
            <v>WyszYńskiego 37A/40</v>
          </cell>
          <cell r="F122">
            <v>83082106286</v>
          </cell>
          <cell r="G122">
            <v>48728567116</v>
          </cell>
          <cell r="H122" t="str">
            <v>jovanna5@wp.pl</v>
          </cell>
          <cell r="I122" t="str">
            <v>Joanna Więczkowska</v>
          </cell>
          <cell r="J122">
            <v>0</v>
          </cell>
          <cell r="K122">
            <v>0</v>
          </cell>
          <cell r="L122">
            <v>0</v>
          </cell>
          <cell r="M122" t="str">
            <v>Język angielski</v>
          </cell>
          <cell r="N122">
            <v>0</v>
          </cell>
          <cell r="O122" t="str">
            <v>Nie</v>
          </cell>
          <cell r="P122">
            <v>1</v>
          </cell>
          <cell r="Q122">
            <v>0</v>
          </cell>
          <cell r="R122" t="str">
            <v>N</v>
          </cell>
          <cell r="S122" t="str">
            <v>N</v>
          </cell>
          <cell r="T122">
            <v>25</v>
          </cell>
          <cell r="U122" t="str">
            <v>Ix2</v>
          </cell>
          <cell r="V122">
            <v>0</v>
          </cell>
          <cell r="W122">
            <v>45931</v>
          </cell>
          <cell r="X122">
            <v>46235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>
            <v>122</v>
          </cell>
          <cell r="B123">
            <v>45931.560208333336</v>
          </cell>
          <cell r="C123" t="str">
            <v>Patrycja Maciejewska</v>
          </cell>
          <cell r="D123" t="str">
            <v>14-200 Iława</v>
          </cell>
          <cell r="E123" t="str">
            <v>Królowej Jadwigi 20A/15</v>
          </cell>
          <cell r="F123">
            <v>86022206585</v>
          </cell>
          <cell r="G123">
            <v>48609080732</v>
          </cell>
          <cell r="H123" t="str">
            <v>patrycja.maciejewska290381@interia.pl</v>
          </cell>
          <cell r="I123" t="str">
            <v>Nikola Maciejewska</v>
          </cell>
          <cell r="J123">
            <v>18</v>
          </cell>
          <cell r="K123" t="str">
            <v>Średnia - liceum</v>
          </cell>
          <cell r="L123">
            <v>4</v>
          </cell>
          <cell r="M123" t="str">
            <v>Matematyka</v>
          </cell>
          <cell r="N123">
            <v>0</v>
          </cell>
          <cell r="O123" t="str">
            <v>Nie</v>
          </cell>
          <cell r="P123">
            <v>1</v>
          </cell>
          <cell r="Q123">
            <v>0</v>
          </cell>
          <cell r="R123" t="str">
            <v>N</v>
          </cell>
          <cell r="S123" t="str">
            <v>N</v>
          </cell>
          <cell r="T123">
            <v>15</v>
          </cell>
          <cell r="U123" t="str">
            <v>Ix1</v>
          </cell>
          <cell r="V123">
            <v>0</v>
          </cell>
          <cell r="W123">
            <v>45931</v>
          </cell>
          <cell r="X123">
            <v>46113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>
            <v>123</v>
          </cell>
          <cell r="B124">
            <v>45932.539861111109</v>
          </cell>
          <cell r="C124" t="str">
            <v>Karolina Łątkowska</v>
          </cell>
          <cell r="F124"/>
          <cell r="G124">
            <v>48512804501</v>
          </cell>
          <cell r="H124" t="str">
            <v>k.latkowska53@gmail.com</v>
          </cell>
          <cell r="I124" t="str">
            <v>Karolina Łątkowska</v>
          </cell>
          <cell r="J124">
            <v>0</v>
          </cell>
          <cell r="K124">
            <v>0</v>
          </cell>
          <cell r="L124">
            <v>0</v>
          </cell>
          <cell r="M124" t="str">
            <v>Język angielski</v>
          </cell>
          <cell r="N124">
            <v>0</v>
          </cell>
          <cell r="O124" t="str">
            <v>Nie</v>
          </cell>
          <cell r="P124">
            <v>1</v>
          </cell>
          <cell r="Q124">
            <v>0</v>
          </cell>
          <cell r="R124" t="str">
            <v>N</v>
          </cell>
          <cell r="S124" t="str">
            <v>N</v>
          </cell>
          <cell r="T124">
            <v>15</v>
          </cell>
          <cell r="U124" t="str">
            <v>Z</v>
          </cell>
          <cell r="V124">
            <v>0</v>
          </cell>
          <cell r="W124">
            <v>45931</v>
          </cell>
          <cell r="X124">
            <v>46235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>
            <v>124</v>
          </cell>
          <cell r="B125">
            <v>0</v>
          </cell>
          <cell r="C125" t="str">
            <v>Piotr Ochocki</v>
          </cell>
          <cell r="D125" t="str">
            <v>14-260 Lubawa</v>
          </cell>
          <cell r="E125" t="str">
            <v>Jabłoniowa 12</v>
          </cell>
          <cell r="F125">
            <v>82092514654</v>
          </cell>
          <cell r="G125">
            <v>48509146138</v>
          </cell>
          <cell r="H125" t="str">
            <v>piotr.ochocki@inter.ikea.com</v>
          </cell>
          <cell r="I125" t="str">
            <v>Piotr Ochocki</v>
          </cell>
          <cell r="J125">
            <v>0</v>
          </cell>
          <cell r="K125">
            <v>0</v>
          </cell>
          <cell r="L125">
            <v>0</v>
          </cell>
          <cell r="M125" t="str">
            <v>Język angielski</v>
          </cell>
          <cell r="N125">
            <v>0</v>
          </cell>
          <cell r="O125" t="str">
            <v>Tak (lub kolejny członek rodziny)</v>
          </cell>
          <cell r="P125">
            <v>1</v>
          </cell>
          <cell r="Q125" t="str">
            <v>089/2025</v>
          </cell>
          <cell r="R125" t="str">
            <v>N</v>
          </cell>
          <cell r="S125" t="str">
            <v>T</v>
          </cell>
          <cell r="T125">
            <v>25</v>
          </cell>
          <cell r="U125" t="str">
            <v>Ix1</v>
          </cell>
          <cell r="V125">
            <v>0</v>
          </cell>
          <cell r="W125">
            <v>45945</v>
          </cell>
          <cell r="X125" t="str">
            <v>maj 2026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>
            <v>125</v>
          </cell>
          <cell r="B126">
            <v>45950.54954861111</v>
          </cell>
          <cell r="C126" t="str">
            <v>Kamila Gurowska</v>
          </cell>
          <cell r="F126"/>
          <cell r="G126">
            <v>48664176029</v>
          </cell>
          <cell r="H126" t="str">
            <v>gurowskakamila@wp.pl</v>
          </cell>
          <cell r="I126" t="str">
            <v>Kamila Gurowska</v>
          </cell>
          <cell r="J126">
            <v>0</v>
          </cell>
          <cell r="K126">
            <v>0</v>
          </cell>
          <cell r="L126">
            <v>0</v>
          </cell>
          <cell r="M126" t="str">
            <v>Język angielski</v>
          </cell>
          <cell r="N126">
            <v>0</v>
          </cell>
          <cell r="O126" t="str">
            <v>Nie</v>
          </cell>
          <cell r="P126">
            <v>1</v>
          </cell>
          <cell r="Q126">
            <v>0</v>
          </cell>
          <cell r="R126" t="str">
            <v>N</v>
          </cell>
          <cell r="S126" t="str">
            <v>N</v>
          </cell>
          <cell r="T126">
            <v>25</v>
          </cell>
          <cell r="U126" t="str">
            <v>Z</v>
          </cell>
          <cell r="V126">
            <v>0</v>
          </cell>
          <cell r="W126">
            <v>45986</v>
          </cell>
          <cell r="X126">
            <v>46174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>
            <v>126</v>
          </cell>
          <cell r="B127">
            <v>0</v>
          </cell>
          <cell r="C127" t="str">
            <v xml:space="preserve"> </v>
          </cell>
          <cell r="F127"/>
          <cell r="G127">
            <v>0</v>
          </cell>
          <cell r="H127">
            <v>0</v>
          </cell>
          <cell r="I127" t="str">
            <v xml:space="preserve"> 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176</v>
          </cell>
          <cell r="Q127">
            <v>0</v>
          </cell>
          <cell r="R127" t="str">
            <v>N</v>
          </cell>
          <cell r="S127" t="str">
            <v>N</v>
          </cell>
          <cell r="T127">
            <v>0</v>
          </cell>
          <cell r="U127" t="str">
            <v>Ix2</v>
          </cell>
          <cell r="V127">
            <v>0</v>
          </cell>
          <cell r="W127">
            <v>0</v>
          </cell>
          <cell r="X127" t="e">
            <v>#N/A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>
            <v>127</v>
          </cell>
          <cell r="B128">
            <v>0</v>
          </cell>
          <cell r="C128" t="str">
            <v xml:space="preserve"> </v>
          </cell>
          <cell r="F128"/>
          <cell r="G128">
            <v>0</v>
          </cell>
          <cell r="H128">
            <v>0</v>
          </cell>
          <cell r="I128" t="str">
            <v xml:space="preserve"> 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176</v>
          </cell>
          <cell r="Q128">
            <v>0</v>
          </cell>
          <cell r="R128" t="str">
            <v>N</v>
          </cell>
          <cell r="S128" t="str">
            <v>N</v>
          </cell>
          <cell r="T128">
            <v>0</v>
          </cell>
          <cell r="U128" t="str">
            <v>Ix2</v>
          </cell>
          <cell r="V128">
            <v>0</v>
          </cell>
          <cell r="W128">
            <v>0</v>
          </cell>
          <cell r="X128" t="e">
            <v>#N/A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>
            <v>128</v>
          </cell>
          <cell r="B129">
            <v>0</v>
          </cell>
          <cell r="C129" t="str">
            <v xml:space="preserve"> </v>
          </cell>
          <cell r="F129"/>
          <cell r="G129">
            <v>0</v>
          </cell>
          <cell r="H129">
            <v>0</v>
          </cell>
          <cell r="I129" t="str">
            <v xml:space="preserve"> 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176</v>
          </cell>
          <cell r="Q129">
            <v>0</v>
          </cell>
          <cell r="R129" t="str">
            <v>N</v>
          </cell>
          <cell r="S129" t="str">
            <v>N</v>
          </cell>
          <cell r="T129">
            <v>0</v>
          </cell>
          <cell r="U129" t="str">
            <v>Ix2</v>
          </cell>
          <cell r="V129">
            <v>0</v>
          </cell>
          <cell r="W129">
            <v>0</v>
          </cell>
          <cell r="X129" t="e">
            <v>#N/A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>
            <v>129</v>
          </cell>
          <cell r="B130">
            <v>0</v>
          </cell>
          <cell r="C130" t="str">
            <v xml:space="preserve"> </v>
          </cell>
          <cell r="F130"/>
          <cell r="G130">
            <v>0</v>
          </cell>
          <cell r="H130">
            <v>0</v>
          </cell>
          <cell r="I130" t="str">
            <v xml:space="preserve"> 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176</v>
          </cell>
          <cell r="Q130">
            <v>0</v>
          </cell>
          <cell r="R130" t="str">
            <v>N</v>
          </cell>
          <cell r="S130" t="str">
            <v>N</v>
          </cell>
          <cell r="T130">
            <v>0</v>
          </cell>
          <cell r="U130" t="str">
            <v>Ix2</v>
          </cell>
          <cell r="V130">
            <v>0</v>
          </cell>
          <cell r="W130">
            <v>0</v>
          </cell>
          <cell r="X130" t="e">
            <v>#N/A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>
            <v>130</v>
          </cell>
          <cell r="B131">
            <v>0</v>
          </cell>
          <cell r="C131" t="str">
            <v xml:space="preserve"> </v>
          </cell>
          <cell r="F131"/>
          <cell r="G131">
            <v>0</v>
          </cell>
          <cell r="H131">
            <v>0</v>
          </cell>
          <cell r="I131" t="str">
            <v xml:space="preserve"> 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176</v>
          </cell>
          <cell r="Q131">
            <v>0</v>
          </cell>
          <cell r="R131" t="str">
            <v>N</v>
          </cell>
          <cell r="S131" t="str">
            <v>N</v>
          </cell>
          <cell r="T131">
            <v>0</v>
          </cell>
          <cell r="U131" t="str">
            <v>Ix2</v>
          </cell>
          <cell r="V131">
            <v>0</v>
          </cell>
          <cell r="W131">
            <v>0</v>
          </cell>
          <cell r="X131" t="e">
            <v>#N/A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2">
          <cell r="A132">
            <v>131</v>
          </cell>
          <cell r="B132">
            <v>0</v>
          </cell>
          <cell r="C132" t="str">
            <v xml:space="preserve"> </v>
          </cell>
          <cell r="F132"/>
          <cell r="G132">
            <v>0</v>
          </cell>
          <cell r="H132">
            <v>0</v>
          </cell>
          <cell r="I132" t="str">
            <v xml:space="preserve"> 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176</v>
          </cell>
          <cell r="Q132">
            <v>0</v>
          </cell>
          <cell r="R132" t="str">
            <v>N</v>
          </cell>
          <cell r="S132" t="str">
            <v>N</v>
          </cell>
          <cell r="T132">
            <v>0</v>
          </cell>
          <cell r="U132" t="str">
            <v>Ix2</v>
          </cell>
          <cell r="V132">
            <v>0</v>
          </cell>
          <cell r="W132">
            <v>0</v>
          </cell>
          <cell r="X132" t="e">
            <v>#N/A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>
            <v>132</v>
          </cell>
          <cell r="B133">
            <v>0</v>
          </cell>
          <cell r="C133" t="str">
            <v xml:space="preserve"> </v>
          </cell>
          <cell r="F133"/>
          <cell r="G133">
            <v>0</v>
          </cell>
          <cell r="H133">
            <v>0</v>
          </cell>
          <cell r="I133" t="str">
            <v xml:space="preserve"> 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176</v>
          </cell>
          <cell r="Q133">
            <v>0</v>
          </cell>
          <cell r="R133" t="str">
            <v>N</v>
          </cell>
          <cell r="S133" t="str">
            <v>N</v>
          </cell>
          <cell r="T133">
            <v>0</v>
          </cell>
          <cell r="U133" t="str">
            <v>Ix2</v>
          </cell>
          <cell r="V133">
            <v>0</v>
          </cell>
          <cell r="W133">
            <v>0</v>
          </cell>
          <cell r="X133" t="e">
            <v>#N/A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>
            <v>133</v>
          </cell>
          <cell r="B134">
            <v>0</v>
          </cell>
          <cell r="C134" t="str">
            <v xml:space="preserve"> </v>
          </cell>
          <cell r="F134"/>
          <cell r="G134">
            <v>0</v>
          </cell>
          <cell r="H134">
            <v>0</v>
          </cell>
          <cell r="I134" t="str">
            <v xml:space="preserve"> 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176</v>
          </cell>
          <cell r="Q134">
            <v>0</v>
          </cell>
          <cell r="R134" t="str">
            <v>N</v>
          </cell>
          <cell r="S134" t="str">
            <v>N</v>
          </cell>
          <cell r="T134">
            <v>0</v>
          </cell>
          <cell r="U134" t="str">
            <v>Ix2</v>
          </cell>
          <cell r="V134">
            <v>0</v>
          </cell>
          <cell r="W134">
            <v>0</v>
          </cell>
          <cell r="X134" t="e">
            <v>#N/A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>
            <v>134</v>
          </cell>
          <cell r="B135">
            <v>0</v>
          </cell>
          <cell r="C135" t="str">
            <v xml:space="preserve"> </v>
          </cell>
          <cell r="F135"/>
          <cell r="G135">
            <v>0</v>
          </cell>
          <cell r="H135">
            <v>0</v>
          </cell>
          <cell r="I135" t="str">
            <v xml:space="preserve"> 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176</v>
          </cell>
          <cell r="Q135">
            <v>0</v>
          </cell>
          <cell r="R135" t="str">
            <v>N</v>
          </cell>
          <cell r="S135" t="str">
            <v>N</v>
          </cell>
          <cell r="T135">
            <v>0</v>
          </cell>
          <cell r="U135" t="str">
            <v>Ix2</v>
          </cell>
          <cell r="V135">
            <v>0</v>
          </cell>
          <cell r="W135">
            <v>0</v>
          </cell>
          <cell r="X135" t="e">
            <v>#N/A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>
            <v>135</v>
          </cell>
          <cell r="B136">
            <v>0</v>
          </cell>
          <cell r="C136" t="str">
            <v xml:space="preserve"> </v>
          </cell>
          <cell r="F136"/>
          <cell r="G136">
            <v>0</v>
          </cell>
          <cell r="H136">
            <v>0</v>
          </cell>
          <cell r="I136" t="str">
            <v xml:space="preserve"> 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176</v>
          </cell>
          <cell r="Q136">
            <v>0</v>
          </cell>
          <cell r="R136" t="str">
            <v>N</v>
          </cell>
          <cell r="S136" t="str">
            <v>N</v>
          </cell>
          <cell r="T136">
            <v>0</v>
          </cell>
          <cell r="U136" t="str">
            <v>Ix2</v>
          </cell>
          <cell r="V136">
            <v>0</v>
          </cell>
          <cell r="W136">
            <v>0</v>
          </cell>
          <cell r="X136" t="e">
            <v>#N/A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A137">
            <v>136</v>
          </cell>
          <cell r="B137">
            <v>0</v>
          </cell>
          <cell r="C137" t="str">
            <v xml:space="preserve"> </v>
          </cell>
          <cell r="F137"/>
          <cell r="G137">
            <v>0</v>
          </cell>
          <cell r="H137">
            <v>0</v>
          </cell>
          <cell r="I137" t="str">
            <v xml:space="preserve"> 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176</v>
          </cell>
          <cell r="Q137">
            <v>0</v>
          </cell>
          <cell r="R137" t="str">
            <v>N</v>
          </cell>
          <cell r="S137" t="str">
            <v>N</v>
          </cell>
          <cell r="T137">
            <v>0</v>
          </cell>
          <cell r="U137" t="str">
            <v>Ix2</v>
          </cell>
          <cell r="V137">
            <v>0</v>
          </cell>
          <cell r="W137">
            <v>0</v>
          </cell>
          <cell r="X137" t="e">
            <v>#N/A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A138">
            <v>137</v>
          </cell>
          <cell r="B138">
            <v>0</v>
          </cell>
          <cell r="C138" t="str">
            <v xml:space="preserve"> </v>
          </cell>
          <cell r="F138"/>
          <cell r="G138">
            <v>0</v>
          </cell>
          <cell r="H138">
            <v>0</v>
          </cell>
          <cell r="I138" t="str">
            <v xml:space="preserve"> 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176</v>
          </cell>
          <cell r="Q138">
            <v>0</v>
          </cell>
          <cell r="R138" t="str">
            <v>N</v>
          </cell>
          <cell r="S138" t="str">
            <v>N</v>
          </cell>
          <cell r="T138">
            <v>0</v>
          </cell>
          <cell r="U138" t="str">
            <v>Ix2</v>
          </cell>
          <cell r="V138">
            <v>0</v>
          </cell>
          <cell r="W138">
            <v>0</v>
          </cell>
          <cell r="X138" t="e">
            <v>#N/A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>
            <v>138</v>
          </cell>
          <cell r="B139">
            <v>0</v>
          </cell>
          <cell r="C139" t="str">
            <v xml:space="preserve"> </v>
          </cell>
          <cell r="F139"/>
          <cell r="G139">
            <v>0</v>
          </cell>
          <cell r="H139">
            <v>0</v>
          </cell>
          <cell r="I139" t="str">
            <v xml:space="preserve"> 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176</v>
          </cell>
          <cell r="Q139">
            <v>0</v>
          </cell>
          <cell r="R139" t="str">
            <v>N</v>
          </cell>
          <cell r="S139" t="str">
            <v>N</v>
          </cell>
          <cell r="T139">
            <v>0</v>
          </cell>
          <cell r="U139" t="str">
            <v>Ix2</v>
          </cell>
          <cell r="V139">
            <v>0</v>
          </cell>
          <cell r="W139">
            <v>0</v>
          </cell>
          <cell r="X139" t="e">
            <v>#N/A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>
            <v>139</v>
          </cell>
          <cell r="B140">
            <v>0</v>
          </cell>
          <cell r="C140" t="str">
            <v xml:space="preserve"> </v>
          </cell>
          <cell r="F140"/>
          <cell r="G140">
            <v>0</v>
          </cell>
          <cell r="H140">
            <v>0</v>
          </cell>
          <cell r="I140" t="str">
            <v xml:space="preserve"> 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176</v>
          </cell>
          <cell r="Q140">
            <v>0</v>
          </cell>
          <cell r="R140" t="str">
            <v>N</v>
          </cell>
          <cell r="S140" t="str">
            <v>N</v>
          </cell>
          <cell r="T140">
            <v>0</v>
          </cell>
          <cell r="U140" t="str">
            <v>Ix2</v>
          </cell>
          <cell r="V140">
            <v>0</v>
          </cell>
          <cell r="W140">
            <v>0</v>
          </cell>
          <cell r="X140" t="e">
            <v>#N/A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A141">
            <v>140</v>
          </cell>
          <cell r="B141">
            <v>0</v>
          </cell>
          <cell r="C141" t="str">
            <v xml:space="preserve"> </v>
          </cell>
          <cell r="F141"/>
          <cell r="G141">
            <v>0</v>
          </cell>
          <cell r="H141">
            <v>0</v>
          </cell>
          <cell r="I141" t="str">
            <v xml:space="preserve"> 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176</v>
          </cell>
          <cell r="Q141">
            <v>0</v>
          </cell>
          <cell r="R141" t="str">
            <v>N</v>
          </cell>
          <cell r="S141" t="str">
            <v>N</v>
          </cell>
          <cell r="T141">
            <v>0</v>
          </cell>
          <cell r="U141" t="str">
            <v>Ix2</v>
          </cell>
          <cell r="V141">
            <v>0</v>
          </cell>
          <cell r="W141">
            <v>0</v>
          </cell>
          <cell r="X141" t="e">
            <v>#N/A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</row>
        <row r="142">
          <cell r="A142">
            <v>141</v>
          </cell>
          <cell r="B142">
            <v>0</v>
          </cell>
          <cell r="C142" t="str">
            <v xml:space="preserve"> </v>
          </cell>
          <cell r="F142"/>
          <cell r="G142">
            <v>0</v>
          </cell>
          <cell r="H142">
            <v>0</v>
          </cell>
          <cell r="I142" t="str">
            <v xml:space="preserve"> 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176</v>
          </cell>
          <cell r="Q142">
            <v>0</v>
          </cell>
          <cell r="R142" t="str">
            <v>N</v>
          </cell>
          <cell r="S142" t="str">
            <v>N</v>
          </cell>
          <cell r="T142">
            <v>0</v>
          </cell>
          <cell r="U142" t="str">
            <v>Ix2</v>
          </cell>
          <cell r="V142">
            <v>0</v>
          </cell>
          <cell r="W142">
            <v>0</v>
          </cell>
          <cell r="X142" t="e">
            <v>#N/A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>
            <v>142</v>
          </cell>
          <cell r="B143">
            <v>0</v>
          </cell>
          <cell r="C143" t="str">
            <v xml:space="preserve"> </v>
          </cell>
          <cell r="F143"/>
          <cell r="G143">
            <v>0</v>
          </cell>
          <cell r="H143">
            <v>0</v>
          </cell>
          <cell r="I143" t="str">
            <v xml:space="preserve"> 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176</v>
          </cell>
          <cell r="Q143">
            <v>0</v>
          </cell>
          <cell r="R143" t="str">
            <v>N</v>
          </cell>
          <cell r="S143" t="str">
            <v>N</v>
          </cell>
          <cell r="T143">
            <v>0</v>
          </cell>
          <cell r="U143" t="str">
            <v>Ix2</v>
          </cell>
          <cell r="V143">
            <v>0</v>
          </cell>
          <cell r="W143">
            <v>0</v>
          </cell>
          <cell r="X143" t="e">
            <v>#N/A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>
            <v>143</v>
          </cell>
          <cell r="B144">
            <v>0</v>
          </cell>
          <cell r="C144" t="str">
            <v xml:space="preserve"> </v>
          </cell>
          <cell r="F144"/>
          <cell r="G144">
            <v>0</v>
          </cell>
          <cell r="H144">
            <v>0</v>
          </cell>
          <cell r="I144" t="str">
            <v xml:space="preserve"> 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176</v>
          </cell>
          <cell r="Q144">
            <v>0</v>
          </cell>
          <cell r="R144" t="str">
            <v>N</v>
          </cell>
          <cell r="S144" t="str">
            <v>N</v>
          </cell>
          <cell r="T144">
            <v>0</v>
          </cell>
          <cell r="U144" t="str">
            <v>Ix2</v>
          </cell>
          <cell r="V144">
            <v>0</v>
          </cell>
          <cell r="W144">
            <v>0</v>
          </cell>
          <cell r="X144" t="e">
            <v>#N/A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>
            <v>144</v>
          </cell>
          <cell r="B145">
            <v>0</v>
          </cell>
          <cell r="C145" t="str">
            <v xml:space="preserve"> </v>
          </cell>
          <cell r="F145"/>
          <cell r="G145">
            <v>0</v>
          </cell>
          <cell r="H145">
            <v>0</v>
          </cell>
          <cell r="I145" t="str">
            <v xml:space="preserve"> 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176</v>
          </cell>
          <cell r="Q145">
            <v>0</v>
          </cell>
          <cell r="R145" t="str">
            <v>N</v>
          </cell>
          <cell r="S145" t="str">
            <v>N</v>
          </cell>
          <cell r="T145">
            <v>0</v>
          </cell>
          <cell r="U145" t="str">
            <v>Ix2</v>
          </cell>
          <cell r="V145">
            <v>0</v>
          </cell>
          <cell r="W145">
            <v>0</v>
          </cell>
          <cell r="X145" t="e">
            <v>#N/A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>
            <v>145</v>
          </cell>
          <cell r="B146">
            <v>0</v>
          </cell>
          <cell r="C146" t="str">
            <v xml:space="preserve"> </v>
          </cell>
          <cell r="F146"/>
          <cell r="G146">
            <v>0</v>
          </cell>
          <cell r="H146">
            <v>0</v>
          </cell>
          <cell r="I146" t="str">
            <v xml:space="preserve"> 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176</v>
          </cell>
          <cell r="Q146">
            <v>0</v>
          </cell>
          <cell r="R146" t="str">
            <v>N</v>
          </cell>
          <cell r="S146" t="str">
            <v>N</v>
          </cell>
          <cell r="T146">
            <v>0</v>
          </cell>
          <cell r="U146" t="str">
            <v>Ix2</v>
          </cell>
          <cell r="V146">
            <v>0</v>
          </cell>
          <cell r="W146">
            <v>0</v>
          </cell>
          <cell r="X146" t="e">
            <v>#N/A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>
            <v>146</v>
          </cell>
          <cell r="B147">
            <v>0</v>
          </cell>
          <cell r="C147" t="str">
            <v xml:space="preserve"> </v>
          </cell>
          <cell r="F147"/>
          <cell r="G147">
            <v>0</v>
          </cell>
          <cell r="H147">
            <v>0</v>
          </cell>
          <cell r="I147" t="str">
            <v xml:space="preserve"> 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176</v>
          </cell>
          <cell r="Q147">
            <v>0</v>
          </cell>
          <cell r="R147" t="str">
            <v>N</v>
          </cell>
          <cell r="S147" t="str">
            <v>N</v>
          </cell>
          <cell r="T147">
            <v>0</v>
          </cell>
          <cell r="U147" t="str">
            <v>Ix2</v>
          </cell>
          <cell r="V147">
            <v>0</v>
          </cell>
          <cell r="W147">
            <v>0</v>
          </cell>
          <cell r="X147" t="e">
            <v>#N/A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>
            <v>147</v>
          </cell>
          <cell r="B148">
            <v>0</v>
          </cell>
          <cell r="C148" t="str">
            <v xml:space="preserve"> </v>
          </cell>
          <cell r="F148"/>
          <cell r="G148">
            <v>0</v>
          </cell>
          <cell r="H148">
            <v>0</v>
          </cell>
          <cell r="I148" t="str">
            <v xml:space="preserve"> 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176</v>
          </cell>
          <cell r="Q148">
            <v>0</v>
          </cell>
          <cell r="R148" t="str">
            <v>N</v>
          </cell>
          <cell r="S148" t="str">
            <v>N</v>
          </cell>
          <cell r="T148">
            <v>0</v>
          </cell>
          <cell r="U148" t="str">
            <v>Ix2</v>
          </cell>
          <cell r="V148">
            <v>0</v>
          </cell>
          <cell r="W148">
            <v>0</v>
          </cell>
          <cell r="X148" t="e">
            <v>#N/A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A149">
            <v>148</v>
          </cell>
          <cell r="B149">
            <v>0</v>
          </cell>
          <cell r="C149" t="str">
            <v xml:space="preserve"> </v>
          </cell>
          <cell r="F149"/>
          <cell r="G149">
            <v>0</v>
          </cell>
          <cell r="H149">
            <v>0</v>
          </cell>
          <cell r="I149" t="str">
            <v xml:space="preserve"> 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176</v>
          </cell>
          <cell r="Q149">
            <v>0</v>
          </cell>
          <cell r="R149" t="str">
            <v>N</v>
          </cell>
          <cell r="S149" t="str">
            <v>N</v>
          </cell>
          <cell r="T149">
            <v>0</v>
          </cell>
          <cell r="U149" t="str">
            <v>Ix2</v>
          </cell>
          <cell r="V149">
            <v>0</v>
          </cell>
          <cell r="W149">
            <v>0</v>
          </cell>
          <cell r="X149" t="e">
            <v>#N/A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A150">
            <v>149</v>
          </cell>
          <cell r="B150">
            <v>0</v>
          </cell>
          <cell r="C150" t="str">
            <v xml:space="preserve"> </v>
          </cell>
          <cell r="F150"/>
          <cell r="G150">
            <v>0</v>
          </cell>
          <cell r="H150">
            <v>0</v>
          </cell>
          <cell r="I150" t="str">
            <v xml:space="preserve"> 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176</v>
          </cell>
          <cell r="Q150">
            <v>0</v>
          </cell>
          <cell r="R150" t="str">
            <v>N</v>
          </cell>
          <cell r="S150" t="str">
            <v>N</v>
          </cell>
          <cell r="T150">
            <v>0</v>
          </cell>
          <cell r="U150" t="str">
            <v>Ix2</v>
          </cell>
          <cell r="V150">
            <v>0</v>
          </cell>
          <cell r="W150">
            <v>0</v>
          </cell>
          <cell r="X150" t="e">
            <v>#N/A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>
            <v>150</v>
          </cell>
          <cell r="B151">
            <v>0</v>
          </cell>
          <cell r="C151" t="str">
            <v xml:space="preserve"> </v>
          </cell>
          <cell r="D151" t="e">
            <v>#N/A</v>
          </cell>
          <cell r="E151" t="e">
            <v>#N/A</v>
          </cell>
          <cell r="F151" t="e">
            <v>#N/A</v>
          </cell>
          <cell r="G151">
            <v>0</v>
          </cell>
          <cell r="H151">
            <v>0</v>
          </cell>
          <cell r="I151" t="str">
            <v xml:space="preserve"> 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176</v>
          </cell>
          <cell r="Q151">
            <v>0</v>
          </cell>
          <cell r="R151" t="str">
            <v>N</v>
          </cell>
          <cell r="S151" t="str">
            <v>N</v>
          </cell>
          <cell r="T151">
            <v>0</v>
          </cell>
          <cell r="U151" t="str">
            <v>Ix2</v>
          </cell>
          <cell r="V151">
            <v>0</v>
          </cell>
          <cell r="W151">
            <v>0</v>
          </cell>
          <cell r="X151" t="e">
            <v>#N/A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2">
          <cell r="A152">
            <v>151</v>
          </cell>
          <cell r="B152">
            <v>0</v>
          </cell>
          <cell r="C152" t="str">
            <v xml:space="preserve"> </v>
          </cell>
          <cell r="D152" t="e">
            <v>#N/A</v>
          </cell>
          <cell r="E152" t="e">
            <v>#N/A</v>
          </cell>
          <cell r="F152" t="e">
            <v>#N/A</v>
          </cell>
          <cell r="G152">
            <v>0</v>
          </cell>
          <cell r="H152">
            <v>0</v>
          </cell>
          <cell r="I152" t="str">
            <v xml:space="preserve"> 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176</v>
          </cell>
          <cell r="Q152">
            <v>0</v>
          </cell>
          <cell r="R152" t="str">
            <v>N</v>
          </cell>
          <cell r="S152" t="str">
            <v>N</v>
          </cell>
          <cell r="T152">
            <v>0</v>
          </cell>
          <cell r="U152" t="str">
            <v>Ix2</v>
          </cell>
          <cell r="V152">
            <v>0</v>
          </cell>
          <cell r="W152">
            <v>0</v>
          </cell>
          <cell r="X152" t="e">
            <v>#N/A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</row>
        <row r="153">
          <cell r="A153">
            <v>152</v>
          </cell>
          <cell r="B153">
            <v>0</v>
          </cell>
          <cell r="C153" t="str">
            <v xml:space="preserve"> </v>
          </cell>
          <cell r="D153" t="e">
            <v>#N/A</v>
          </cell>
          <cell r="E153" t="e">
            <v>#N/A</v>
          </cell>
          <cell r="F153" t="e">
            <v>#N/A</v>
          </cell>
          <cell r="G153">
            <v>0</v>
          </cell>
          <cell r="H153">
            <v>0</v>
          </cell>
          <cell r="I153" t="str">
            <v xml:space="preserve"> 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176</v>
          </cell>
          <cell r="Q153">
            <v>0</v>
          </cell>
          <cell r="R153" t="str">
            <v>N</v>
          </cell>
          <cell r="S153" t="str">
            <v>N</v>
          </cell>
          <cell r="T153">
            <v>0</v>
          </cell>
          <cell r="U153" t="str">
            <v>Ix2</v>
          </cell>
          <cell r="V153">
            <v>0</v>
          </cell>
          <cell r="W153">
            <v>0</v>
          </cell>
          <cell r="X153" t="e">
            <v>#N/A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</row>
        <row r="154">
          <cell r="A154">
            <v>153</v>
          </cell>
          <cell r="B154">
            <v>0</v>
          </cell>
          <cell r="C154" t="str">
            <v xml:space="preserve"> </v>
          </cell>
          <cell r="D154" t="e">
            <v>#N/A</v>
          </cell>
          <cell r="E154" t="e">
            <v>#N/A</v>
          </cell>
          <cell r="F154" t="e">
            <v>#N/A</v>
          </cell>
          <cell r="G154">
            <v>0</v>
          </cell>
          <cell r="H154">
            <v>0</v>
          </cell>
          <cell r="I154" t="str">
            <v xml:space="preserve"> 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176</v>
          </cell>
          <cell r="Q154">
            <v>0</v>
          </cell>
          <cell r="R154" t="str">
            <v>N</v>
          </cell>
          <cell r="S154" t="str">
            <v>N</v>
          </cell>
          <cell r="T154">
            <v>0</v>
          </cell>
          <cell r="U154" t="str">
            <v>Ix2</v>
          </cell>
          <cell r="V154">
            <v>0</v>
          </cell>
          <cell r="W154">
            <v>0</v>
          </cell>
          <cell r="X154" t="e">
            <v>#N/A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</row>
        <row r="155">
          <cell r="A155">
            <v>154</v>
          </cell>
          <cell r="B155">
            <v>0</v>
          </cell>
          <cell r="C155" t="str">
            <v xml:space="preserve"> </v>
          </cell>
          <cell r="D155" t="e">
            <v>#N/A</v>
          </cell>
          <cell r="E155" t="e">
            <v>#N/A</v>
          </cell>
          <cell r="F155" t="e">
            <v>#N/A</v>
          </cell>
          <cell r="G155">
            <v>0</v>
          </cell>
          <cell r="H155">
            <v>0</v>
          </cell>
          <cell r="I155" t="str">
            <v xml:space="preserve"> 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176</v>
          </cell>
          <cell r="Q155">
            <v>0</v>
          </cell>
          <cell r="R155" t="str">
            <v>N</v>
          </cell>
          <cell r="S155" t="str">
            <v>N</v>
          </cell>
          <cell r="T155">
            <v>0</v>
          </cell>
          <cell r="U155" t="str">
            <v>Ix2</v>
          </cell>
          <cell r="V155">
            <v>0</v>
          </cell>
          <cell r="W155">
            <v>0</v>
          </cell>
          <cell r="X155" t="e">
            <v>#N/A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6">
          <cell r="A156">
            <v>155</v>
          </cell>
          <cell r="B156">
            <v>0</v>
          </cell>
          <cell r="C156" t="str">
            <v xml:space="preserve"> </v>
          </cell>
          <cell r="D156" t="e">
            <v>#N/A</v>
          </cell>
          <cell r="E156" t="e">
            <v>#N/A</v>
          </cell>
          <cell r="F156" t="e">
            <v>#N/A</v>
          </cell>
          <cell r="G156">
            <v>0</v>
          </cell>
          <cell r="H156">
            <v>0</v>
          </cell>
          <cell r="I156" t="str">
            <v xml:space="preserve"> 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176</v>
          </cell>
          <cell r="Q156">
            <v>0</v>
          </cell>
          <cell r="R156" t="str">
            <v>N</v>
          </cell>
          <cell r="S156" t="str">
            <v>N</v>
          </cell>
          <cell r="T156">
            <v>0</v>
          </cell>
          <cell r="U156" t="str">
            <v>Ix2</v>
          </cell>
          <cell r="V156">
            <v>0</v>
          </cell>
          <cell r="W156">
            <v>0</v>
          </cell>
          <cell r="X156" t="e">
            <v>#N/A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A157">
            <v>156</v>
          </cell>
          <cell r="B157">
            <v>0</v>
          </cell>
          <cell r="C157" t="str">
            <v xml:space="preserve"> </v>
          </cell>
          <cell r="D157" t="e">
            <v>#N/A</v>
          </cell>
          <cell r="E157" t="e">
            <v>#N/A</v>
          </cell>
          <cell r="F157" t="e">
            <v>#N/A</v>
          </cell>
          <cell r="G157">
            <v>0</v>
          </cell>
          <cell r="H157">
            <v>0</v>
          </cell>
          <cell r="I157" t="str">
            <v xml:space="preserve"> 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176</v>
          </cell>
          <cell r="Q157">
            <v>0</v>
          </cell>
          <cell r="R157" t="str">
            <v>N</v>
          </cell>
          <cell r="S157" t="str">
            <v>N</v>
          </cell>
          <cell r="T157">
            <v>0</v>
          </cell>
          <cell r="U157" t="str">
            <v>Ix2</v>
          </cell>
          <cell r="V157">
            <v>0</v>
          </cell>
          <cell r="W157">
            <v>0</v>
          </cell>
          <cell r="X157" t="e">
            <v>#N/A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A158">
            <v>157</v>
          </cell>
          <cell r="B158">
            <v>0</v>
          </cell>
          <cell r="C158" t="str">
            <v xml:space="preserve"> </v>
          </cell>
          <cell r="D158" t="e">
            <v>#N/A</v>
          </cell>
          <cell r="E158" t="e">
            <v>#N/A</v>
          </cell>
          <cell r="F158" t="e">
            <v>#N/A</v>
          </cell>
          <cell r="G158">
            <v>0</v>
          </cell>
          <cell r="H158">
            <v>0</v>
          </cell>
          <cell r="I158" t="str">
            <v xml:space="preserve"> 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176</v>
          </cell>
          <cell r="Q158">
            <v>0</v>
          </cell>
          <cell r="R158" t="str">
            <v>N</v>
          </cell>
          <cell r="S158" t="str">
            <v>N</v>
          </cell>
          <cell r="T158">
            <v>0</v>
          </cell>
          <cell r="U158" t="str">
            <v>Ix2</v>
          </cell>
          <cell r="V158">
            <v>0</v>
          </cell>
          <cell r="W158">
            <v>0</v>
          </cell>
          <cell r="X158" t="e">
            <v>#N/A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>
            <v>158</v>
          </cell>
          <cell r="B159">
            <v>0</v>
          </cell>
          <cell r="C159" t="str">
            <v xml:space="preserve"> </v>
          </cell>
          <cell r="D159" t="e">
            <v>#N/A</v>
          </cell>
          <cell r="E159" t="e">
            <v>#N/A</v>
          </cell>
          <cell r="F159" t="e">
            <v>#N/A</v>
          </cell>
          <cell r="G159">
            <v>0</v>
          </cell>
          <cell r="H159">
            <v>0</v>
          </cell>
          <cell r="I159" t="str">
            <v xml:space="preserve"> 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176</v>
          </cell>
          <cell r="Q159">
            <v>0</v>
          </cell>
          <cell r="R159" t="str">
            <v>N</v>
          </cell>
          <cell r="S159" t="str">
            <v>N</v>
          </cell>
          <cell r="T159">
            <v>0</v>
          </cell>
          <cell r="U159" t="str">
            <v>Ix2</v>
          </cell>
          <cell r="V159">
            <v>0</v>
          </cell>
          <cell r="W159">
            <v>0</v>
          </cell>
          <cell r="X159" t="e">
            <v>#N/A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A160">
            <v>159</v>
          </cell>
          <cell r="B160">
            <v>0</v>
          </cell>
          <cell r="C160" t="str">
            <v xml:space="preserve"> </v>
          </cell>
          <cell r="D160" t="e">
            <v>#N/A</v>
          </cell>
          <cell r="E160" t="e">
            <v>#N/A</v>
          </cell>
          <cell r="F160" t="e">
            <v>#N/A</v>
          </cell>
          <cell r="G160">
            <v>0</v>
          </cell>
          <cell r="H160">
            <v>0</v>
          </cell>
          <cell r="I160" t="str">
            <v xml:space="preserve"> 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176</v>
          </cell>
          <cell r="Q160">
            <v>0</v>
          </cell>
          <cell r="R160" t="str">
            <v>N</v>
          </cell>
          <cell r="S160" t="str">
            <v>N</v>
          </cell>
          <cell r="T160">
            <v>0</v>
          </cell>
          <cell r="U160" t="str">
            <v>Ix2</v>
          </cell>
          <cell r="V160">
            <v>0</v>
          </cell>
          <cell r="W160">
            <v>0</v>
          </cell>
          <cell r="X160" t="e">
            <v>#N/A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A161">
            <v>160</v>
          </cell>
          <cell r="B161">
            <v>0</v>
          </cell>
          <cell r="C161" t="str">
            <v xml:space="preserve"> </v>
          </cell>
          <cell r="D161" t="e">
            <v>#N/A</v>
          </cell>
          <cell r="E161" t="e">
            <v>#N/A</v>
          </cell>
          <cell r="F161" t="e">
            <v>#N/A</v>
          </cell>
          <cell r="G161">
            <v>0</v>
          </cell>
          <cell r="H161">
            <v>0</v>
          </cell>
          <cell r="I161" t="str">
            <v xml:space="preserve"> 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176</v>
          </cell>
          <cell r="Q161">
            <v>0</v>
          </cell>
          <cell r="R161" t="str">
            <v>N</v>
          </cell>
          <cell r="S161" t="str">
            <v>N</v>
          </cell>
          <cell r="T161">
            <v>0</v>
          </cell>
          <cell r="U161" t="str">
            <v>Ix2</v>
          </cell>
          <cell r="V161">
            <v>0</v>
          </cell>
          <cell r="W161">
            <v>0</v>
          </cell>
          <cell r="X161" t="e">
            <v>#N/A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A162">
            <v>161</v>
          </cell>
          <cell r="B162">
            <v>0</v>
          </cell>
          <cell r="C162" t="str">
            <v xml:space="preserve"> </v>
          </cell>
          <cell r="D162" t="e">
            <v>#N/A</v>
          </cell>
          <cell r="E162" t="e">
            <v>#N/A</v>
          </cell>
          <cell r="F162" t="e">
            <v>#N/A</v>
          </cell>
          <cell r="G162">
            <v>0</v>
          </cell>
          <cell r="H162">
            <v>0</v>
          </cell>
          <cell r="I162" t="str">
            <v xml:space="preserve"> 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176</v>
          </cell>
          <cell r="Q162">
            <v>0</v>
          </cell>
          <cell r="R162" t="str">
            <v>N</v>
          </cell>
          <cell r="S162" t="str">
            <v>N</v>
          </cell>
          <cell r="T162">
            <v>0</v>
          </cell>
          <cell r="U162" t="str">
            <v>Ix2</v>
          </cell>
          <cell r="V162">
            <v>0</v>
          </cell>
          <cell r="W162">
            <v>0</v>
          </cell>
          <cell r="X162" t="e">
            <v>#N/A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>
            <v>162</v>
          </cell>
          <cell r="B163">
            <v>0</v>
          </cell>
          <cell r="C163" t="str">
            <v xml:space="preserve"> </v>
          </cell>
          <cell r="D163" t="e">
            <v>#N/A</v>
          </cell>
          <cell r="E163" t="e">
            <v>#N/A</v>
          </cell>
          <cell r="F163" t="e">
            <v>#N/A</v>
          </cell>
          <cell r="G163">
            <v>0</v>
          </cell>
          <cell r="H163">
            <v>0</v>
          </cell>
          <cell r="I163" t="str">
            <v xml:space="preserve"> 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176</v>
          </cell>
          <cell r="Q163">
            <v>0</v>
          </cell>
          <cell r="R163" t="str">
            <v>N</v>
          </cell>
          <cell r="S163" t="str">
            <v>N</v>
          </cell>
          <cell r="T163">
            <v>0</v>
          </cell>
          <cell r="U163" t="str">
            <v>Ix2</v>
          </cell>
          <cell r="V163">
            <v>0</v>
          </cell>
          <cell r="W163">
            <v>0</v>
          </cell>
          <cell r="X163" t="e">
            <v>#N/A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>
            <v>163</v>
          </cell>
          <cell r="B164">
            <v>0</v>
          </cell>
          <cell r="C164" t="str">
            <v xml:space="preserve"> </v>
          </cell>
          <cell r="D164" t="e">
            <v>#N/A</v>
          </cell>
          <cell r="E164" t="e">
            <v>#N/A</v>
          </cell>
          <cell r="F164" t="e">
            <v>#N/A</v>
          </cell>
          <cell r="G164">
            <v>0</v>
          </cell>
          <cell r="H164">
            <v>0</v>
          </cell>
          <cell r="I164" t="str">
            <v xml:space="preserve"> 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176</v>
          </cell>
          <cell r="Q164">
            <v>0</v>
          </cell>
          <cell r="R164" t="str">
            <v>N</v>
          </cell>
          <cell r="S164" t="str">
            <v>N</v>
          </cell>
          <cell r="T164">
            <v>0</v>
          </cell>
          <cell r="U164" t="str">
            <v>Ix2</v>
          </cell>
          <cell r="V164">
            <v>0</v>
          </cell>
          <cell r="W164">
            <v>0</v>
          </cell>
          <cell r="X164" t="e">
            <v>#N/A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>
            <v>164</v>
          </cell>
          <cell r="B165">
            <v>0</v>
          </cell>
          <cell r="C165" t="str">
            <v xml:space="preserve"> </v>
          </cell>
          <cell r="D165" t="e">
            <v>#N/A</v>
          </cell>
          <cell r="E165" t="e">
            <v>#N/A</v>
          </cell>
          <cell r="F165" t="e">
            <v>#N/A</v>
          </cell>
          <cell r="G165">
            <v>0</v>
          </cell>
          <cell r="H165">
            <v>0</v>
          </cell>
          <cell r="I165" t="str">
            <v xml:space="preserve"> 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176</v>
          </cell>
          <cell r="Q165">
            <v>0</v>
          </cell>
          <cell r="R165" t="str">
            <v>N</v>
          </cell>
          <cell r="S165" t="str">
            <v>N</v>
          </cell>
          <cell r="T165">
            <v>0</v>
          </cell>
          <cell r="U165" t="str">
            <v>Ix2</v>
          </cell>
          <cell r="V165">
            <v>0</v>
          </cell>
          <cell r="W165">
            <v>0</v>
          </cell>
          <cell r="X165" t="e">
            <v>#N/A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>
            <v>165</v>
          </cell>
          <cell r="B166">
            <v>0</v>
          </cell>
          <cell r="C166" t="str">
            <v xml:space="preserve"> </v>
          </cell>
          <cell r="D166" t="e">
            <v>#N/A</v>
          </cell>
          <cell r="E166" t="e">
            <v>#N/A</v>
          </cell>
          <cell r="F166" t="e">
            <v>#N/A</v>
          </cell>
          <cell r="G166">
            <v>0</v>
          </cell>
          <cell r="H166">
            <v>0</v>
          </cell>
          <cell r="I166" t="str">
            <v xml:space="preserve"> 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176</v>
          </cell>
          <cell r="Q166">
            <v>0</v>
          </cell>
          <cell r="R166" t="str">
            <v>N</v>
          </cell>
          <cell r="S166" t="str">
            <v>N</v>
          </cell>
          <cell r="T166">
            <v>0</v>
          </cell>
          <cell r="U166" t="str">
            <v>Ix2</v>
          </cell>
          <cell r="V166">
            <v>0</v>
          </cell>
          <cell r="W166">
            <v>0</v>
          </cell>
          <cell r="X166" t="e">
            <v>#N/A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>
            <v>166</v>
          </cell>
          <cell r="B167">
            <v>0</v>
          </cell>
          <cell r="C167" t="str">
            <v xml:space="preserve"> </v>
          </cell>
          <cell r="D167" t="e">
            <v>#N/A</v>
          </cell>
          <cell r="E167" t="e">
            <v>#N/A</v>
          </cell>
          <cell r="F167" t="e">
            <v>#N/A</v>
          </cell>
          <cell r="G167">
            <v>0</v>
          </cell>
          <cell r="H167">
            <v>0</v>
          </cell>
          <cell r="I167" t="str">
            <v xml:space="preserve"> 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176</v>
          </cell>
          <cell r="Q167">
            <v>0</v>
          </cell>
          <cell r="R167" t="str">
            <v>N</v>
          </cell>
          <cell r="S167" t="str">
            <v>N</v>
          </cell>
          <cell r="T167">
            <v>0</v>
          </cell>
          <cell r="U167" t="str">
            <v>Ix2</v>
          </cell>
          <cell r="V167">
            <v>0</v>
          </cell>
          <cell r="W167">
            <v>0</v>
          </cell>
          <cell r="X167" t="e">
            <v>#N/A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A168">
            <v>167</v>
          </cell>
          <cell r="B168">
            <v>0</v>
          </cell>
          <cell r="C168" t="str">
            <v xml:space="preserve"> </v>
          </cell>
          <cell r="D168" t="e">
            <v>#N/A</v>
          </cell>
          <cell r="E168" t="e">
            <v>#N/A</v>
          </cell>
          <cell r="F168" t="e">
            <v>#N/A</v>
          </cell>
          <cell r="G168">
            <v>0</v>
          </cell>
          <cell r="H168">
            <v>0</v>
          </cell>
          <cell r="I168" t="str">
            <v xml:space="preserve"> 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176</v>
          </cell>
          <cell r="Q168">
            <v>0</v>
          </cell>
          <cell r="R168" t="str">
            <v>N</v>
          </cell>
          <cell r="S168" t="str">
            <v>N</v>
          </cell>
          <cell r="T168">
            <v>0</v>
          </cell>
          <cell r="U168" t="str">
            <v>Ix2</v>
          </cell>
          <cell r="V168">
            <v>0</v>
          </cell>
          <cell r="W168">
            <v>0</v>
          </cell>
          <cell r="X168" t="e">
            <v>#N/A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A169">
            <v>168</v>
          </cell>
          <cell r="B169">
            <v>0</v>
          </cell>
          <cell r="C169" t="str">
            <v xml:space="preserve"> </v>
          </cell>
          <cell r="D169" t="e">
            <v>#N/A</v>
          </cell>
          <cell r="E169" t="e">
            <v>#N/A</v>
          </cell>
          <cell r="F169" t="e">
            <v>#N/A</v>
          </cell>
          <cell r="G169">
            <v>0</v>
          </cell>
          <cell r="H169">
            <v>0</v>
          </cell>
          <cell r="I169" t="str">
            <v xml:space="preserve"> 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176</v>
          </cell>
          <cell r="Q169">
            <v>0</v>
          </cell>
          <cell r="R169" t="str">
            <v>N</v>
          </cell>
          <cell r="S169" t="str">
            <v>N</v>
          </cell>
          <cell r="T169">
            <v>0</v>
          </cell>
          <cell r="U169" t="str">
            <v>Ix2</v>
          </cell>
          <cell r="V169">
            <v>0</v>
          </cell>
          <cell r="W169">
            <v>0</v>
          </cell>
          <cell r="X169" t="e">
            <v>#N/A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>
            <v>169</v>
          </cell>
          <cell r="B170">
            <v>0</v>
          </cell>
          <cell r="C170" t="str">
            <v xml:space="preserve"> </v>
          </cell>
          <cell r="D170" t="e">
            <v>#N/A</v>
          </cell>
          <cell r="E170" t="e">
            <v>#N/A</v>
          </cell>
          <cell r="F170" t="e">
            <v>#N/A</v>
          </cell>
          <cell r="G170">
            <v>0</v>
          </cell>
          <cell r="H170">
            <v>0</v>
          </cell>
          <cell r="I170" t="str">
            <v xml:space="preserve"> 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176</v>
          </cell>
          <cell r="Q170">
            <v>0</v>
          </cell>
          <cell r="R170" t="str">
            <v>N</v>
          </cell>
          <cell r="S170" t="str">
            <v>N</v>
          </cell>
          <cell r="T170">
            <v>0</v>
          </cell>
          <cell r="U170" t="str">
            <v>Ix2</v>
          </cell>
          <cell r="V170">
            <v>0</v>
          </cell>
          <cell r="W170">
            <v>0</v>
          </cell>
          <cell r="X170" t="e">
            <v>#N/A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>
            <v>170</v>
          </cell>
          <cell r="B171">
            <v>0</v>
          </cell>
          <cell r="C171" t="str">
            <v xml:space="preserve"> </v>
          </cell>
          <cell r="D171" t="e">
            <v>#N/A</v>
          </cell>
          <cell r="E171" t="e">
            <v>#N/A</v>
          </cell>
          <cell r="F171" t="e">
            <v>#N/A</v>
          </cell>
          <cell r="G171">
            <v>0</v>
          </cell>
          <cell r="H171">
            <v>0</v>
          </cell>
          <cell r="I171" t="str">
            <v xml:space="preserve"> 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176</v>
          </cell>
          <cell r="Q171">
            <v>0</v>
          </cell>
          <cell r="R171" t="str">
            <v>N</v>
          </cell>
          <cell r="S171" t="str">
            <v>N</v>
          </cell>
          <cell r="T171">
            <v>0</v>
          </cell>
          <cell r="U171" t="str">
            <v>Ix2</v>
          </cell>
          <cell r="V171">
            <v>0</v>
          </cell>
          <cell r="W171">
            <v>0</v>
          </cell>
          <cell r="X171" t="e">
            <v>#N/A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A172">
            <v>171</v>
          </cell>
          <cell r="B172">
            <v>0</v>
          </cell>
          <cell r="C172" t="str">
            <v xml:space="preserve"> </v>
          </cell>
          <cell r="D172" t="e">
            <v>#N/A</v>
          </cell>
          <cell r="E172" t="e">
            <v>#N/A</v>
          </cell>
          <cell r="F172" t="e">
            <v>#N/A</v>
          </cell>
          <cell r="G172">
            <v>0</v>
          </cell>
          <cell r="H172">
            <v>0</v>
          </cell>
          <cell r="I172" t="str">
            <v xml:space="preserve"> 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176</v>
          </cell>
          <cell r="Q172">
            <v>0</v>
          </cell>
          <cell r="R172" t="str">
            <v>N</v>
          </cell>
          <cell r="S172" t="str">
            <v>N</v>
          </cell>
          <cell r="T172">
            <v>0</v>
          </cell>
          <cell r="U172" t="str">
            <v>Ix2</v>
          </cell>
          <cell r="V172">
            <v>0</v>
          </cell>
          <cell r="W172">
            <v>0</v>
          </cell>
          <cell r="X172" t="e">
            <v>#N/A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A173">
            <v>172</v>
          </cell>
          <cell r="B173">
            <v>0</v>
          </cell>
          <cell r="C173" t="str">
            <v xml:space="preserve"> </v>
          </cell>
          <cell r="D173" t="e">
            <v>#N/A</v>
          </cell>
          <cell r="E173" t="e">
            <v>#N/A</v>
          </cell>
          <cell r="F173" t="e">
            <v>#N/A</v>
          </cell>
          <cell r="G173">
            <v>0</v>
          </cell>
          <cell r="H173">
            <v>0</v>
          </cell>
          <cell r="I173" t="str">
            <v xml:space="preserve"> 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176</v>
          </cell>
          <cell r="Q173">
            <v>0</v>
          </cell>
          <cell r="R173" t="str">
            <v>N</v>
          </cell>
          <cell r="S173" t="str">
            <v>N</v>
          </cell>
          <cell r="T173">
            <v>0</v>
          </cell>
          <cell r="U173" t="str">
            <v>Ix2</v>
          </cell>
          <cell r="V173">
            <v>0</v>
          </cell>
          <cell r="W173">
            <v>0</v>
          </cell>
          <cell r="X173" t="e">
            <v>#N/A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>
            <v>173</v>
          </cell>
          <cell r="B174">
            <v>0</v>
          </cell>
          <cell r="C174" t="str">
            <v xml:space="preserve"> </v>
          </cell>
          <cell r="D174" t="e">
            <v>#N/A</v>
          </cell>
          <cell r="E174" t="e">
            <v>#N/A</v>
          </cell>
          <cell r="F174" t="e">
            <v>#N/A</v>
          </cell>
          <cell r="G174">
            <v>0</v>
          </cell>
          <cell r="H174">
            <v>0</v>
          </cell>
          <cell r="I174" t="str">
            <v xml:space="preserve"> 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176</v>
          </cell>
          <cell r="Q174">
            <v>0</v>
          </cell>
          <cell r="R174" t="str">
            <v>N</v>
          </cell>
          <cell r="S174" t="str">
            <v>N</v>
          </cell>
          <cell r="T174">
            <v>0</v>
          </cell>
          <cell r="U174" t="str">
            <v>Ix2</v>
          </cell>
          <cell r="V174">
            <v>0</v>
          </cell>
          <cell r="W174">
            <v>0</v>
          </cell>
          <cell r="X174" t="e">
            <v>#N/A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>
            <v>174</v>
          </cell>
          <cell r="B175">
            <v>0</v>
          </cell>
          <cell r="C175" t="str">
            <v xml:space="preserve"> </v>
          </cell>
          <cell r="D175" t="e">
            <v>#N/A</v>
          </cell>
          <cell r="E175" t="e">
            <v>#N/A</v>
          </cell>
          <cell r="F175" t="e">
            <v>#N/A</v>
          </cell>
          <cell r="G175">
            <v>0</v>
          </cell>
          <cell r="H175">
            <v>0</v>
          </cell>
          <cell r="I175" t="str">
            <v xml:space="preserve"> 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176</v>
          </cell>
          <cell r="Q175">
            <v>0</v>
          </cell>
          <cell r="R175" t="str">
            <v>N</v>
          </cell>
          <cell r="S175" t="str">
            <v>N</v>
          </cell>
          <cell r="T175">
            <v>0</v>
          </cell>
          <cell r="U175" t="str">
            <v>Ix2</v>
          </cell>
          <cell r="V175">
            <v>0</v>
          </cell>
          <cell r="W175">
            <v>0</v>
          </cell>
          <cell r="X175" t="e">
            <v>#N/A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>
            <v>175</v>
          </cell>
          <cell r="B176">
            <v>0</v>
          </cell>
          <cell r="C176" t="str">
            <v xml:space="preserve"> </v>
          </cell>
          <cell r="D176" t="e">
            <v>#N/A</v>
          </cell>
          <cell r="E176" t="e">
            <v>#N/A</v>
          </cell>
          <cell r="F176" t="e">
            <v>#N/A</v>
          </cell>
          <cell r="G176">
            <v>0</v>
          </cell>
          <cell r="H176">
            <v>0</v>
          </cell>
          <cell r="I176" t="str">
            <v xml:space="preserve"> 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176</v>
          </cell>
          <cell r="Q176">
            <v>0</v>
          </cell>
          <cell r="R176" t="str">
            <v>N</v>
          </cell>
          <cell r="S176" t="str">
            <v>N</v>
          </cell>
          <cell r="T176">
            <v>0</v>
          </cell>
          <cell r="U176" t="str">
            <v>Ix2</v>
          </cell>
          <cell r="V176">
            <v>0</v>
          </cell>
          <cell r="W176">
            <v>0</v>
          </cell>
          <cell r="X176" t="e">
            <v>#N/A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A177">
            <v>176</v>
          </cell>
          <cell r="B177">
            <v>0</v>
          </cell>
          <cell r="C177" t="str">
            <v xml:space="preserve"> </v>
          </cell>
          <cell r="D177" t="e">
            <v>#N/A</v>
          </cell>
          <cell r="E177" t="e">
            <v>#N/A</v>
          </cell>
          <cell r="F177" t="e">
            <v>#N/A</v>
          </cell>
          <cell r="G177">
            <v>0</v>
          </cell>
          <cell r="H177">
            <v>0</v>
          </cell>
          <cell r="I177" t="str">
            <v xml:space="preserve"> 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176</v>
          </cell>
          <cell r="Q177">
            <v>0</v>
          </cell>
          <cell r="R177" t="str">
            <v>N</v>
          </cell>
          <cell r="S177" t="str">
            <v>N</v>
          </cell>
          <cell r="T177">
            <v>0</v>
          </cell>
          <cell r="U177" t="str">
            <v>Ix2</v>
          </cell>
          <cell r="V177">
            <v>0</v>
          </cell>
          <cell r="W177">
            <v>0</v>
          </cell>
          <cell r="X177" t="e">
            <v>#N/A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>
            <v>177</v>
          </cell>
          <cell r="B178">
            <v>0</v>
          </cell>
          <cell r="C178" t="str">
            <v xml:space="preserve"> </v>
          </cell>
          <cell r="D178" t="e">
            <v>#N/A</v>
          </cell>
          <cell r="E178" t="e">
            <v>#N/A</v>
          </cell>
          <cell r="F178" t="e">
            <v>#N/A</v>
          </cell>
          <cell r="G178">
            <v>0</v>
          </cell>
          <cell r="H178">
            <v>0</v>
          </cell>
          <cell r="I178" t="str">
            <v xml:space="preserve"> 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176</v>
          </cell>
          <cell r="Q178">
            <v>0</v>
          </cell>
          <cell r="R178" t="str">
            <v>N</v>
          </cell>
          <cell r="S178" t="str">
            <v>N</v>
          </cell>
          <cell r="T178">
            <v>0</v>
          </cell>
          <cell r="U178" t="str">
            <v>Ix2</v>
          </cell>
          <cell r="V178">
            <v>0</v>
          </cell>
          <cell r="W178">
            <v>0</v>
          </cell>
          <cell r="X178" t="e">
            <v>#N/A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>
            <v>178</v>
          </cell>
          <cell r="B179">
            <v>0</v>
          </cell>
          <cell r="C179" t="str">
            <v xml:space="preserve"> </v>
          </cell>
          <cell r="D179" t="e">
            <v>#N/A</v>
          </cell>
          <cell r="E179" t="e">
            <v>#N/A</v>
          </cell>
          <cell r="F179" t="e">
            <v>#N/A</v>
          </cell>
          <cell r="G179">
            <v>0</v>
          </cell>
          <cell r="H179">
            <v>0</v>
          </cell>
          <cell r="I179" t="str">
            <v xml:space="preserve"> 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176</v>
          </cell>
          <cell r="Q179">
            <v>0</v>
          </cell>
          <cell r="R179" t="str">
            <v>N</v>
          </cell>
          <cell r="S179" t="str">
            <v>N</v>
          </cell>
          <cell r="T179">
            <v>0</v>
          </cell>
          <cell r="U179" t="str">
            <v>Ix2</v>
          </cell>
          <cell r="V179">
            <v>0</v>
          </cell>
          <cell r="W179">
            <v>0</v>
          </cell>
          <cell r="X179" t="e">
            <v>#N/A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>
            <v>179</v>
          </cell>
          <cell r="B180">
            <v>0</v>
          </cell>
          <cell r="C180" t="str">
            <v xml:space="preserve"> </v>
          </cell>
          <cell r="D180" t="e">
            <v>#N/A</v>
          </cell>
          <cell r="E180" t="e">
            <v>#N/A</v>
          </cell>
          <cell r="F180" t="e">
            <v>#N/A</v>
          </cell>
          <cell r="G180">
            <v>0</v>
          </cell>
          <cell r="H180">
            <v>0</v>
          </cell>
          <cell r="I180" t="str">
            <v xml:space="preserve"> 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176</v>
          </cell>
          <cell r="Q180">
            <v>0</v>
          </cell>
          <cell r="R180" t="str">
            <v>N</v>
          </cell>
          <cell r="S180" t="str">
            <v>N</v>
          </cell>
          <cell r="T180">
            <v>0</v>
          </cell>
          <cell r="U180" t="str">
            <v>Ix2</v>
          </cell>
          <cell r="V180">
            <v>0</v>
          </cell>
          <cell r="W180">
            <v>0</v>
          </cell>
          <cell r="X180" t="e">
            <v>#N/A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>
            <v>180</v>
          </cell>
          <cell r="B181">
            <v>0</v>
          </cell>
          <cell r="C181" t="str">
            <v xml:space="preserve"> </v>
          </cell>
          <cell r="D181" t="e">
            <v>#N/A</v>
          </cell>
          <cell r="E181" t="e">
            <v>#N/A</v>
          </cell>
          <cell r="F181" t="e">
            <v>#N/A</v>
          </cell>
          <cell r="G181">
            <v>0</v>
          </cell>
          <cell r="H181">
            <v>0</v>
          </cell>
          <cell r="I181" t="str">
            <v xml:space="preserve"> 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176</v>
          </cell>
          <cell r="Q181">
            <v>0</v>
          </cell>
          <cell r="R181" t="str">
            <v>N</v>
          </cell>
          <cell r="S181" t="str">
            <v>N</v>
          </cell>
          <cell r="T181">
            <v>0</v>
          </cell>
          <cell r="U181" t="str">
            <v>Ix2</v>
          </cell>
          <cell r="V181">
            <v>0</v>
          </cell>
          <cell r="W181">
            <v>0</v>
          </cell>
          <cell r="X181" t="e">
            <v>#N/A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A182">
            <v>181</v>
          </cell>
          <cell r="B182">
            <v>0</v>
          </cell>
          <cell r="C182" t="str">
            <v xml:space="preserve"> </v>
          </cell>
          <cell r="D182" t="e">
            <v>#N/A</v>
          </cell>
          <cell r="E182" t="e">
            <v>#N/A</v>
          </cell>
          <cell r="F182" t="e">
            <v>#N/A</v>
          </cell>
          <cell r="G182">
            <v>0</v>
          </cell>
          <cell r="H182">
            <v>0</v>
          </cell>
          <cell r="I182" t="str">
            <v xml:space="preserve"> 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176</v>
          </cell>
          <cell r="Q182">
            <v>0</v>
          </cell>
          <cell r="R182" t="str">
            <v>N</v>
          </cell>
          <cell r="S182" t="str">
            <v>N</v>
          </cell>
          <cell r="T182">
            <v>0</v>
          </cell>
          <cell r="U182" t="str">
            <v>Ix2</v>
          </cell>
          <cell r="V182">
            <v>0</v>
          </cell>
          <cell r="W182">
            <v>0</v>
          </cell>
          <cell r="X182" t="e">
            <v>#N/A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A183">
            <v>182</v>
          </cell>
          <cell r="B183">
            <v>0</v>
          </cell>
          <cell r="C183" t="str">
            <v xml:space="preserve"> </v>
          </cell>
          <cell r="D183" t="e">
            <v>#N/A</v>
          </cell>
          <cell r="E183" t="e">
            <v>#N/A</v>
          </cell>
          <cell r="F183" t="e">
            <v>#N/A</v>
          </cell>
          <cell r="G183">
            <v>0</v>
          </cell>
          <cell r="H183">
            <v>0</v>
          </cell>
          <cell r="I183" t="str">
            <v xml:space="preserve"> 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176</v>
          </cell>
          <cell r="Q183">
            <v>0</v>
          </cell>
          <cell r="R183" t="str">
            <v>N</v>
          </cell>
          <cell r="S183" t="str">
            <v>N</v>
          </cell>
          <cell r="T183">
            <v>0</v>
          </cell>
          <cell r="U183" t="str">
            <v>Ix2</v>
          </cell>
          <cell r="V183">
            <v>0</v>
          </cell>
          <cell r="W183">
            <v>0</v>
          </cell>
          <cell r="X183" t="e">
            <v>#N/A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>
            <v>183</v>
          </cell>
          <cell r="B184">
            <v>0</v>
          </cell>
          <cell r="C184" t="str">
            <v xml:space="preserve"> </v>
          </cell>
          <cell r="D184" t="e">
            <v>#N/A</v>
          </cell>
          <cell r="E184" t="e">
            <v>#N/A</v>
          </cell>
          <cell r="F184" t="e">
            <v>#N/A</v>
          </cell>
          <cell r="G184">
            <v>0</v>
          </cell>
          <cell r="H184">
            <v>0</v>
          </cell>
          <cell r="I184" t="str">
            <v xml:space="preserve"> 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176</v>
          </cell>
          <cell r="Q184">
            <v>0</v>
          </cell>
          <cell r="R184" t="str">
            <v>N</v>
          </cell>
          <cell r="S184" t="str">
            <v>N</v>
          </cell>
          <cell r="T184">
            <v>0</v>
          </cell>
          <cell r="U184" t="str">
            <v>Ix2</v>
          </cell>
          <cell r="V184">
            <v>0</v>
          </cell>
          <cell r="W184">
            <v>0</v>
          </cell>
          <cell r="X184" t="e">
            <v>#N/A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5">
          <cell r="A185">
            <v>184</v>
          </cell>
          <cell r="B185">
            <v>0</v>
          </cell>
          <cell r="C185" t="str">
            <v xml:space="preserve"> </v>
          </cell>
          <cell r="D185" t="e">
            <v>#N/A</v>
          </cell>
          <cell r="E185" t="e">
            <v>#N/A</v>
          </cell>
          <cell r="F185" t="e">
            <v>#N/A</v>
          </cell>
          <cell r="G185">
            <v>0</v>
          </cell>
          <cell r="H185">
            <v>0</v>
          </cell>
          <cell r="I185" t="str">
            <v xml:space="preserve"> 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176</v>
          </cell>
          <cell r="Q185">
            <v>0</v>
          </cell>
          <cell r="R185" t="str">
            <v>N</v>
          </cell>
          <cell r="S185" t="str">
            <v>N</v>
          </cell>
          <cell r="T185">
            <v>0</v>
          </cell>
          <cell r="U185" t="str">
            <v>Ix2</v>
          </cell>
          <cell r="V185">
            <v>0</v>
          </cell>
          <cell r="W185">
            <v>0</v>
          </cell>
          <cell r="X185" t="e">
            <v>#N/A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</row>
        <row r="186">
          <cell r="A186">
            <v>185</v>
          </cell>
          <cell r="B186">
            <v>0</v>
          </cell>
          <cell r="C186" t="str">
            <v xml:space="preserve"> </v>
          </cell>
          <cell r="D186" t="e">
            <v>#N/A</v>
          </cell>
          <cell r="E186" t="e">
            <v>#N/A</v>
          </cell>
          <cell r="F186" t="e">
            <v>#N/A</v>
          </cell>
          <cell r="G186">
            <v>0</v>
          </cell>
          <cell r="H186">
            <v>0</v>
          </cell>
          <cell r="I186" t="str">
            <v xml:space="preserve"> 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176</v>
          </cell>
          <cell r="Q186">
            <v>0</v>
          </cell>
          <cell r="R186" t="str">
            <v>N</v>
          </cell>
          <cell r="S186" t="str">
            <v>N</v>
          </cell>
          <cell r="T186">
            <v>0</v>
          </cell>
          <cell r="U186" t="str">
            <v>Ix2</v>
          </cell>
          <cell r="V186">
            <v>0</v>
          </cell>
          <cell r="W186">
            <v>0</v>
          </cell>
          <cell r="X186" t="e">
            <v>#N/A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>
            <v>186</v>
          </cell>
          <cell r="B187">
            <v>0</v>
          </cell>
          <cell r="C187" t="str">
            <v xml:space="preserve"> </v>
          </cell>
          <cell r="D187" t="e">
            <v>#N/A</v>
          </cell>
          <cell r="E187" t="e">
            <v>#N/A</v>
          </cell>
          <cell r="F187" t="e">
            <v>#N/A</v>
          </cell>
          <cell r="G187">
            <v>0</v>
          </cell>
          <cell r="H187">
            <v>0</v>
          </cell>
          <cell r="I187" t="str">
            <v xml:space="preserve"> 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176</v>
          </cell>
          <cell r="Q187">
            <v>0</v>
          </cell>
          <cell r="R187" t="str">
            <v>N</v>
          </cell>
          <cell r="S187" t="str">
            <v>N</v>
          </cell>
          <cell r="T187">
            <v>0</v>
          </cell>
          <cell r="U187" t="str">
            <v>Ix2</v>
          </cell>
          <cell r="V187">
            <v>0</v>
          </cell>
          <cell r="W187">
            <v>0</v>
          </cell>
          <cell r="X187" t="e">
            <v>#N/A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</row>
        <row r="188">
          <cell r="A188">
            <v>187</v>
          </cell>
          <cell r="B188">
            <v>0</v>
          </cell>
          <cell r="C188" t="str">
            <v xml:space="preserve"> </v>
          </cell>
          <cell r="D188" t="e">
            <v>#N/A</v>
          </cell>
          <cell r="E188" t="e">
            <v>#N/A</v>
          </cell>
          <cell r="F188" t="e">
            <v>#N/A</v>
          </cell>
          <cell r="G188">
            <v>0</v>
          </cell>
          <cell r="H188">
            <v>0</v>
          </cell>
          <cell r="I188" t="str">
            <v xml:space="preserve"> 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176</v>
          </cell>
          <cell r="Q188">
            <v>0</v>
          </cell>
          <cell r="R188" t="str">
            <v>N</v>
          </cell>
          <cell r="S188" t="str">
            <v>N</v>
          </cell>
          <cell r="T188">
            <v>0</v>
          </cell>
          <cell r="U188" t="str">
            <v>Ix2</v>
          </cell>
          <cell r="V188">
            <v>0</v>
          </cell>
          <cell r="W188">
            <v>0</v>
          </cell>
          <cell r="X188" t="e">
            <v>#N/A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>
            <v>188</v>
          </cell>
          <cell r="B189">
            <v>0</v>
          </cell>
          <cell r="C189" t="str">
            <v xml:space="preserve"> </v>
          </cell>
          <cell r="D189" t="e">
            <v>#N/A</v>
          </cell>
          <cell r="E189" t="e">
            <v>#N/A</v>
          </cell>
          <cell r="F189" t="e">
            <v>#N/A</v>
          </cell>
          <cell r="G189">
            <v>0</v>
          </cell>
          <cell r="H189">
            <v>0</v>
          </cell>
          <cell r="I189" t="str">
            <v xml:space="preserve"> 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176</v>
          </cell>
          <cell r="Q189">
            <v>0</v>
          </cell>
          <cell r="R189" t="str">
            <v>N</v>
          </cell>
          <cell r="S189" t="str">
            <v>N</v>
          </cell>
          <cell r="T189">
            <v>0</v>
          </cell>
          <cell r="U189" t="str">
            <v>Ix2</v>
          </cell>
          <cell r="V189">
            <v>0</v>
          </cell>
          <cell r="W189">
            <v>0</v>
          </cell>
          <cell r="X189" t="e">
            <v>#N/A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A190">
            <v>189</v>
          </cell>
          <cell r="B190">
            <v>0</v>
          </cell>
          <cell r="C190" t="str">
            <v xml:space="preserve"> </v>
          </cell>
          <cell r="D190" t="e">
            <v>#N/A</v>
          </cell>
          <cell r="E190" t="e">
            <v>#N/A</v>
          </cell>
          <cell r="F190" t="e">
            <v>#N/A</v>
          </cell>
          <cell r="G190">
            <v>0</v>
          </cell>
          <cell r="H190">
            <v>0</v>
          </cell>
          <cell r="I190" t="str">
            <v xml:space="preserve"> 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176</v>
          </cell>
          <cell r="Q190">
            <v>0</v>
          </cell>
          <cell r="R190" t="str">
            <v>N</v>
          </cell>
          <cell r="S190" t="str">
            <v>N</v>
          </cell>
          <cell r="T190">
            <v>0</v>
          </cell>
          <cell r="U190" t="str">
            <v>Ix2</v>
          </cell>
          <cell r="V190">
            <v>0</v>
          </cell>
          <cell r="W190">
            <v>0</v>
          </cell>
          <cell r="X190" t="e">
            <v>#N/A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A191">
            <v>190</v>
          </cell>
          <cell r="B191">
            <v>0</v>
          </cell>
          <cell r="C191" t="str">
            <v xml:space="preserve"> </v>
          </cell>
          <cell r="D191" t="e">
            <v>#N/A</v>
          </cell>
          <cell r="E191" t="e">
            <v>#N/A</v>
          </cell>
          <cell r="F191" t="e">
            <v>#N/A</v>
          </cell>
          <cell r="G191">
            <v>0</v>
          </cell>
          <cell r="H191">
            <v>0</v>
          </cell>
          <cell r="I191" t="str">
            <v xml:space="preserve"> 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176</v>
          </cell>
          <cell r="Q191">
            <v>0</v>
          </cell>
          <cell r="R191" t="str">
            <v>N</v>
          </cell>
          <cell r="S191" t="str">
            <v>N</v>
          </cell>
          <cell r="T191">
            <v>0</v>
          </cell>
          <cell r="U191" t="str">
            <v>Ix2</v>
          </cell>
          <cell r="V191">
            <v>0</v>
          </cell>
          <cell r="W191">
            <v>0</v>
          </cell>
          <cell r="X191" t="e">
            <v>#N/A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2">
          <cell r="A192">
            <v>191</v>
          </cell>
          <cell r="B192">
            <v>0</v>
          </cell>
          <cell r="C192" t="str">
            <v xml:space="preserve"> </v>
          </cell>
          <cell r="D192" t="e">
            <v>#N/A</v>
          </cell>
          <cell r="E192" t="e">
            <v>#N/A</v>
          </cell>
          <cell r="F192" t="e">
            <v>#N/A</v>
          </cell>
          <cell r="G192">
            <v>0</v>
          </cell>
          <cell r="H192">
            <v>0</v>
          </cell>
          <cell r="I192" t="str">
            <v xml:space="preserve"> 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176</v>
          </cell>
          <cell r="Q192">
            <v>0</v>
          </cell>
          <cell r="R192" t="str">
            <v>N</v>
          </cell>
          <cell r="S192" t="str">
            <v>N</v>
          </cell>
          <cell r="T192">
            <v>0</v>
          </cell>
          <cell r="U192" t="str">
            <v>Ix2</v>
          </cell>
          <cell r="V192">
            <v>0</v>
          </cell>
          <cell r="W192">
            <v>0</v>
          </cell>
          <cell r="X192" t="e">
            <v>#N/A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A193">
            <v>192</v>
          </cell>
          <cell r="B193">
            <v>0</v>
          </cell>
          <cell r="C193" t="str">
            <v xml:space="preserve"> </v>
          </cell>
          <cell r="D193" t="e">
            <v>#N/A</v>
          </cell>
          <cell r="E193" t="e">
            <v>#N/A</v>
          </cell>
          <cell r="F193" t="e">
            <v>#N/A</v>
          </cell>
          <cell r="G193">
            <v>0</v>
          </cell>
          <cell r="H193">
            <v>0</v>
          </cell>
          <cell r="I193" t="str">
            <v xml:space="preserve"> 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176</v>
          </cell>
          <cell r="Q193">
            <v>0</v>
          </cell>
          <cell r="R193" t="str">
            <v>N</v>
          </cell>
          <cell r="S193" t="str">
            <v>N</v>
          </cell>
          <cell r="T193">
            <v>0</v>
          </cell>
          <cell r="U193" t="str">
            <v>Ix2</v>
          </cell>
          <cell r="V193">
            <v>0</v>
          </cell>
          <cell r="W193">
            <v>0</v>
          </cell>
          <cell r="X193" t="e">
            <v>#N/A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>
            <v>193</v>
          </cell>
          <cell r="B194">
            <v>0</v>
          </cell>
          <cell r="C194" t="str">
            <v xml:space="preserve"> </v>
          </cell>
          <cell r="D194" t="e">
            <v>#N/A</v>
          </cell>
          <cell r="E194" t="e">
            <v>#N/A</v>
          </cell>
          <cell r="F194" t="e">
            <v>#N/A</v>
          </cell>
          <cell r="G194">
            <v>0</v>
          </cell>
          <cell r="H194">
            <v>0</v>
          </cell>
          <cell r="I194" t="str">
            <v xml:space="preserve"> 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176</v>
          </cell>
          <cell r="Q194">
            <v>0</v>
          </cell>
          <cell r="R194" t="str">
            <v>N</v>
          </cell>
          <cell r="S194" t="str">
            <v>N</v>
          </cell>
          <cell r="T194">
            <v>0</v>
          </cell>
          <cell r="U194" t="str">
            <v>Ix2</v>
          </cell>
          <cell r="V194">
            <v>0</v>
          </cell>
          <cell r="W194">
            <v>0</v>
          </cell>
          <cell r="X194" t="e">
            <v>#N/A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</row>
        <row r="195">
          <cell r="A195">
            <v>194</v>
          </cell>
          <cell r="B195">
            <v>0</v>
          </cell>
          <cell r="C195" t="str">
            <v xml:space="preserve"> </v>
          </cell>
          <cell r="D195" t="e">
            <v>#N/A</v>
          </cell>
          <cell r="E195" t="e">
            <v>#N/A</v>
          </cell>
          <cell r="F195" t="e">
            <v>#N/A</v>
          </cell>
          <cell r="G195">
            <v>0</v>
          </cell>
          <cell r="H195">
            <v>0</v>
          </cell>
          <cell r="I195" t="str">
            <v xml:space="preserve"> 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176</v>
          </cell>
          <cell r="Q195">
            <v>0</v>
          </cell>
          <cell r="R195" t="str">
            <v>N</v>
          </cell>
          <cell r="S195" t="str">
            <v>N</v>
          </cell>
          <cell r="T195">
            <v>0</v>
          </cell>
          <cell r="U195" t="str">
            <v>Ix2</v>
          </cell>
          <cell r="V195">
            <v>0</v>
          </cell>
          <cell r="W195">
            <v>0</v>
          </cell>
          <cell r="X195" t="e">
            <v>#N/A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6">
          <cell r="A196">
            <v>195</v>
          </cell>
          <cell r="B196">
            <v>0</v>
          </cell>
          <cell r="C196" t="str">
            <v xml:space="preserve"> </v>
          </cell>
          <cell r="D196" t="e">
            <v>#N/A</v>
          </cell>
          <cell r="E196" t="e">
            <v>#N/A</v>
          </cell>
          <cell r="F196" t="e">
            <v>#N/A</v>
          </cell>
          <cell r="G196">
            <v>0</v>
          </cell>
          <cell r="H196">
            <v>0</v>
          </cell>
          <cell r="I196" t="str">
            <v xml:space="preserve"> 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176</v>
          </cell>
          <cell r="Q196">
            <v>0</v>
          </cell>
          <cell r="R196" t="str">
            <v>N</v>
          </cell>
          <cell r="S196" t="str">
            <v>N</v>
          </cell>
          <cell r="T196">
            <v>0</v>
          </cell>
          <cell r="U196" t="str">
            <v>Ix2</v>
          </cell>
          <cell r="V196">
            <v>0</v>
          </cell>
          <cell r="W196">
            <v>0</v>
          </cell>
          <cell r="X196" t="e">
            <v>#N/A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>
            <v>196</v>
          </cell>
          <cell r="B197">
            <v>0</v>
          </cell>
          <cell r="C197" t="str">
            <v xml:space="preserve"> </v>
          </cell>
          <cell r="D197" t="e">
            <v>#N/A</v>
          </cell>
          <cell r="E197" t="e">
            <v>#N/A</v>
          </cell>
          <cell r="F197" t="e">
            <v>#N/A</v>
          </cell>
          <cell r="G197">
            <v>0</v>
          </cell>
          <cell r="H197">
            <v>0</v>
          </cell>
          <cell r="I197" t="str">
            <v xml:space="preserve"> 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176</v>
          </cell>
          <cell r="Q197">
            <v>0</v>
          </cell>
          <cell r="R197" t="str">
            <v>N</v>
          </cell>
          <cell r="S197" t="str">
            <v>N</v>
          </cell>
          <cell r="T197">
            <v>0</v>
          </cell>
          <cell r="U197" t="str">
            <v>Ix2</v>
          </cell>
          <cell r="V197">
            <v>0</v>
          </cell>
          <cell r="W197">
            <v>0</v>
          </cell>
          <cell r="X197" t="e">
            <v>#N/A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A198">
            <v>197</v>
          </cell>
          <cell r="B198">
            <v>0</v>
          </cell>
          <cell r="C198" t="str">
            <v xml:space="preserve"> </v>
          </cell>
          <cell r="D198" t="e">
            <v>#N/A</v>
          </cell>
          <cell r="E198" t="e">
            <v>#N/A</v>
          </cell>
          <cell r="F198" t="e">
            <v>#N/A</v>
          </cell>
          <cell r="G198">
            <v>0</v>
          </cell>
          <cell r="H198">
            <v>0</v>
          </cell>
          <cell r="I198" t="str">
            <v xml:space="preserve"> 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176</v>
          </cell>
          <cell r="Q198">
            <v>0</v>
          </cell>
          <cell r="R198" t="str">
            <v>N</v>
          </cell>
          <cell r="S198" t="str">
            <v>N</v>
          </cell>
          <cell r="T198">
            <v>0</v>
          </cell>
          <cell r="U198" t="str">
            <v>Ix2</v>
          </cell>
          <cell r="V198">
            <v>0</v>
          </cell>
          <cell r="W198">
            <v>0</v>
          </cell>
          <cell r="X198" t="e">
            <v>#N/A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A199">
            <v>198</v>
          </cell>
          <cell r="B199">
            <v>0</v>
          </cell>
          <cell r="C199" t="str">
            <v xml:space="preserve"> </v>
          </cell>
          <cell r="D199" t="e">
            <v>#N/A</v>
          </cell>
          <cell r="E199" t="e">
            <v>#N/A</v>
          </cell>
          <cell r="F199" t="e">
            <v>#N/A</v>
          </cell>
          <cell r="G199">
            <v>0</v>
          </cell>
          <cell r="H199">
            <v>0</v>
          </cell>
          <cell r="I199" t="str">
            <v xml:space="preserve"> 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176</v>
          </cell>
          <cell r="Q199">
            <v>0</v>
          </cell>
          <cell r="R199" t="str">
            <v>N</v>
          </cell>
          <cell r="S199" t="str">
            <v>N</v>
          </cell>
          <cell r="T199">
            <v>0</v>
          </cell>
          <cell r="U199" t="str">
            <v>Ix2</v>
          </cell>
          <cell r="V199">
            <v>0</v>
          </cell>
          <cell r="W199">
            <v>0</v>
          </cell>
          <cell r="X199" t="e">
            <v>#N/A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A200">
            <v>199</v>
          </cell>
          <cell r="B200">
            <v>0</v>
          </cell>
          <cell r="C200" t="str">
            <v xml:space="preserve"> </v>
          </cell>
          <cell r="D200" t="e">
            <v>#N/A</v>
          </cell>
          <cell r="E200" t="e">
            <v>#N/A</v>
          </cell>
          <cell r="F200" t="e">
            <v>#N/A</v>
          </cell>
          <cell r="G200">
            <v>0</v>
          </cell>
          <cell r="H200">
            <v>0</v>
          </cell>
          <cell r="I200" t="str">
            <v xml:space="preserve"> 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176</v>
          </cell>
          <cell r="Q200">
            <v>0</v>
          </cell>
          <cell r="R200" t="str">
            <v>N</v>
          </cell>
          <cell r="S200" t="str">
            <v>N</v>
          </cell>
          <cell r="T200">
            <v>0</v>
          </cell>
          <cell r="U200" t="str">
            <v>Ix2</v>
          </cell>
          <cell r="V200">
            <v>0</v>
          </cell>
          <cell r="W200">
            <v>0</v>
          </cell>
          <cell r="X200" t="e">
            <v>#N/A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>
            <v>200</v>
          </cell>
          <cell r="B201">
            <v>0</v>
          </cell>
          <cell r="C201" t="str">
            <v xml:space="preserve"> </v>
          </cell>
          <cell r="D201" t="e">
            <v>#N/A</v>
          </cell>
          <cell r="E201" t="e">
            <v>#N/A</v>
          </cell>
          <cell r="F201" t="e">
            <v>#N/A</v>
          </cell>
          <cell r="G201">
            <v>0</v>
          </cell>
          <cell r="H201">
            <v>0</v>
          </cell>
          <cell r="I201" t="str">
            <v xml:space="preserve"> 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176</v>
          </cell>
          <cell r="Q201">
            <v>0</v>
          </cell>
          <cell r="R201" t="str">
            <v>N</v>
          </cell>
          <cell r="S201" t="str">
            <v>N</v>
          </cell>
          <cell r="T201">
            <v>0</v>
          </cell>
          <cell r="U201" t="str">
            <v>Ix2</v>
          </cell>
          <cell r="V201">
            <v>0</v>
          </cell>
          <cell r="W201">
            <v>0</v>
          </cell>
          <cell r="X201" t="e">
            <v>#N/A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>
            <v>201</v>
          </cell>
          <cell r="B202">
            <v>0</v>
          </cell>
          <cell r="C202" t="str">
            <v xml:space="preserve"> </v>
          </cell>
          <cell r="D202" t="e">
            <v>#N/A</v>
          </cell>
          <cell r="E202" t="e">
            <v>#N/A</v>
          </cell>
          <cell r="F202" t="e">
            <v>#N/A</v>
          </cell>
          <cell r="G202">
            <v>0</v>
          </cell>
          <cell r="H202">
            <v>0</v>
          </cell>
          <cell r="I202" t="str">
            <v xml:space="preserve"> 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176</v>
          </cell>
          <cell r="Q202">
            <v>0</v>
          </cell>
          <cell r="R202" t="str">
            <v>N</v>
          </cell>
          <cell r="S202" t="str">
            <v>N</v>
          </cell>
          <cell r="T202">
            <v>0</v>
          </cell>
          <cell r="U202" t="str">
            <v>Ix2</v>
          </cell>
          <cell r="V202">
            <v>0</v>
          </cell>
          <cell r="W202">
            <v>0</v>
          </cell>
          <cell r="X202" t="e">
            <v>#N/A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>
            <v>202</v>
          </cell>
          <cell r="B203">
            <v>0</v>
          </cell>
          <cell r="C203" t="str">
            <v xml:space="preserve"> </v>
          </cell>
          <cell r="D203" t="e">
            <v>#N/A</v>
          </cell>
          <cell r="E203" t="e">
            <v>#N/A</v>
          </cell>
          <cell r="F203" t="e">
            <v>#N/A</v>
          </cell>
          <cell r="G203">
            <v>0</v>
          </cell>
          <cell r="H203">
            <v>0</v>
          </cell>
          <cell r="I203" t="str">
            <v xml:space="preserve"> 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176</v>
          </cell>
          <cell r="Q203">
            <v>0</v>
          </cell>
          <cell r="R203" t="str">
            <v>N</v>
          </cell>
          <cell r="S203" t="str">
            <v>N</v>
          </cell>
          <cell r="T203">
            <v>0</v>
          </cell>
          <cell r="U203" t="str">
            <v>Ix2</v>
          </cell>
          <cell r="V203">
            <v>0</v>
          </cell>
          <cell r="W203">
            <v>0</v>
          </cell>
          <cell r="X203" t="e">
            <v>#N/A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>
            <v>203</v>
          </cell>
          <cell r="B204">
            <v>0</v>
          </cell>
          <cell r="C204" t="str">
            <v xml:space="preserve"> </v>
          </cell>
          <cell r="D204" t="e">
            <v>#N/A</v>
          </cell>
          <cell r="E204" t="e">
            <v>#N/A</v>
          </cell>
          <cell r="F204" t="e">
            <v>#N/A</v>
          </cell>
          <cell r="G204">
            <v>0</v>
          </cell>
          <cell r="H204">
            <v>0</v>
          </cell>
          <cell r="I204" t="str">
            <v xml:space="preserve"> 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176</v>
          </cell>
          <cell r="Q204">
            <v>0</v>
          </cell>
          <cell r="R204" t="str">
            <v>N</v>
          </cell>
          <cell r="S204" t="str">
            <v>N</v>
          </cell>
          <cell r="T204">
            <v>0</v>
          </cell>
          <cell r="U204" t="str">
            <v>Ix2</v>
          </cell>
          <cell r="V204">
            <v>0</v>
          </cell>
          <cell r="W204">
            <v>0</v>
          </cell>
          <cell r="X204" t="e">
            <v>#N/A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>
            <v>204</v>
          </cell>
          <cell r="B205">
            <v>0</v>
          </cell>
          <cell r="C205" t="str">
            <v xml:space="preserve"> </v>
          </cell>
          <cell r="D205" t="e">
            <v>#N/A</v>
          </cell>
          <cell r="E205" t="e">
            <v>#N/A</v>
          </cell>
          <cell r="F205" t="e">
            <v>#N/A</v>
          </cell>
          <cell r="G205">
            <v>0</v>
          </cell>
          <cell r="H205">
            <v>0</v>
          </cell>
          <cell r="I205" t="str">
            <v xml:space="preserve"> 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176</v>
          </cell>
          <cell r="Q205">
            <v>0</v>
          </cell>
          <cell r="R205" t="str">
            <v>N</v>
          </cell>
          <cell r="S205" t="str">
            <v>N</v>
          </cell>
          <cell r="T205">
            <v>0</v>
          </cell>
          <cell r="U205" t="str">
            <v>Ix2</v>
          </cell>
          <cell r="V205">
            <v>0</v>
          </cell>
          <cell r="W205">
            <v>0</v>
          </cell>
          <cell r="X205" t="e">
            <v>#N/A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A206">
            <v>205</v>
          </cell>
          <cell r="B206">
            <v>0</v>
          </cell>
          <cell r="C206" t="str">
            <v xml:space="preserve"> </v>
          </cell>
          <cell r="D206" t="e">
            <v>#N/A</v>
          </cell>
          <cell r="E206" t="e">
            <v>#N/A</v>
          </cell>
          <cell r="F206" t="e">
            <v>#N/A</v>
          </cell>
          <cell r="G206">
            <v>0</v>
          </cell>
          <cell r="H206">
            <v>0</v>
          </cell>
          <cell r="I206" t="str">
            <v xml:space="preserve"> 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176</v>
          </cell>
          <cell r="Q206">
            <v>0</v>
          </cell>
          <cell r="R206" t="str">
            <v>N</v>
          </cell>
          <cell r="S206" t="str">
            <v>N</v>
          </cell>
          <cell r="T206">
            <v>0</v>
          </cell>
          <cell r="U206" t="str">
            <v>Ix2</v>
          </cell>
          <cell r="V206">
            <v>0</v>
          </cell>
          <cell r="W206">
            <v>0</v>
          </cell>
          <cell r="X206" t="e">
            <v>#N/A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A207">
            <v>206</v>
          </cell>
          <cell r="B207">
            <v>0</v>
          </cell>
          <cell r="C207" t="str">
            <v xml:space="preserve"> </v>
          </cell>
          <cell r="D207" t="e">
            <v>#N/A</v>
          </cell>
          <cell r="E207" t="e">
            <v>#N/A</v>
          </cell>
          <cell r="F207" t="e">
            <v>#N/A</v>
          </cell>
          <cell r="G207">
            <v>0</v>
          </cell>
          <cell r="H207">
            <v>0</v>
          </cell>
          <cell r="I207" t="str">
            <v xml:space="preserve"> 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176</v>
          </cell>
          <cell r="Q207">
            <v>0</v>
          </cell>
          <cell r="R207" t="str">
            <v>N</v>
          </cell>
          <cell r="S207" t="str">
            <v>N</v>
          </cell>
          <cell r="T207">
            <v>0</v>
          </cell>
          <cell r="U207" t="str">
            <v>Ix2</v>
          </cell>
          <cell r="V207">
            <v>0</v>
          </cell>
          <cell r="W207">
            <v>0</v>
          </cell>
          <cell r="X207" t="e">
            <v>#N/A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A208">
            <v>207</v>
          </cell>
          <cell r="B208">
            <v>0</v>
          </cell>
          <cell r="C208" t="str">
            <v xml:space="preserve"> </v>
          </cell>
          <cell r="D208" t="e">
            <v>#N/A</v>
          </cell>
          <cell r="E208" t="e">
            <v>#N/A</v>
          </cell>
          <cell r="F208" t="e">
            <v>#N/A</v>
          </cell>
          <cell r="G208">
            <v>0</v>
          </cell>
          <cell r="H208">
            <v>0</v>
          </cell>
          <cell r="I208" t="str">
            <v xml:space="preserve"> 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176</v>
          </cell>
          <cell r="Q208">
            <v>0</v>
          </cell>
          <cell r="R208" t="str">
            <v>N</v>
          </cell>
          <cell r="S208" t="str">
            <v>N</v>
          </cell>
          <cell r="T208">
            <v>0</v>
          </cell>
          <cell r="U208" t="str">
            <v>Ix2</v>
          </cell>
          <cell r="V208">
            <v>0</v>
          </cell>
          <cell r="W208">
            <v>0</v>
          </cell>
          <cell r="X208" t="e">
            <v>#N/A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A209">
            <v>208</v>
          </cell>
          <cell r="B209">
            <v>0</v>
          </cell>
          <cell r="C209" t="str">
            <v xml:space="preserve"> </v>
          </cell>
          <cell r="D209" t="e">
            <v>#N/A</v>
          </cell>
          <cell r="E209" t="e">
            <v>#N/A</v>
          </cell>
          <cell r="F209" t="e">
            <v>#N/A</v>
          </cell>
          <cell r="G209">
            <v>0</v>
          </cell>
          <cell r="H209">
            <v>0</v>
          </cell>
          <cell r="I209" t="str">
            <v xml:space="preserve"> 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176</v>
          </cell>
          <cell r="Q209">
            <v>0</v>
          </cell>
          <cell r="R209" t="str">
            <v>N</v>
          </cell>
          <cell r="S209" t="str">
            <v>N</v>
          </cell>
          <cell r="T209">
            <v>0</v>
          </cell>
          <cell r="U209" t="str">
            <v>Ix2</v>
          </cell>
          <cell r="V209">
            <v>0</v>
          </cell>
          <cell r="W209">
            <v>0</v>
          </cell>
          <cell r="X209" t="e">
            <v>#N/A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A210">
            <v>209</v>
          </cell>
          <cell r="B210">
            <v>0</v>
          </cell>
          <cell r="C210" t="str">
            <v xml:space="preserve"> </v>
          </cell>
          <cell r="D210" t="e">
            <v>#N/A</v>
          </cell>
          <cell r="E210" t="e">
            <v>#N/A</v>
          </cell>
          <cell r="F210" t="e">
            <v>#N/A</v>
          </cell>
          <cell r="G210">
            <v>0</v>
          </cell>
          <cell r="H210">
            <v>0</v>
          </cell>
          <cell r="I210" t="str">
            <v xml:space="preserve"> 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176</v>
          </cell>
          <cell r="Q210">
            <v>0</v>
          </cell>
          <cell r="R210" t="str">
            <v>N</v>
          </cell>
          <cell r="S210" t="str">
            <v>N</v>
          </cell>
          <cell r="T210">
            <v>0</v>
          </cell>
          <cell r="U210" t="str">
            <v>Ix2</v>
          </cell>
          <cell r="V210">
            <v>0</v>
          </cell>
          <cell r="W210">
            <v>0</v>
          </cell>
          <cell r="X210" t="e">
            <v>#N/A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A211">
            <v>210</v>
          </cell>
          <cell r="B211">
            <v>0</v>
          </cell>
          <cell r="C211" t="str">
            <v xml:space="preserve"> </v>
          </cell>
          <cell r="D211" t="e">
            <v>#N/A</v>
          </cell>
          <cell r="E211" t="e">
            <v>#N/A</v>
          </cell>
          <cell r="F211" t="e">
            <v>#N/A</v>
          </cell>
          <cell r="G211">
            <v>0</v>
          </cell>
          <cell r="H211">
            <v>0</v>
          </cell>
          <cell r="I211" t="str">
            <v xml:space="preserve"> 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176</v>
          </cell>
          <cell r="Q211">
            <v>0</v>
          </cell>
          <cell r="R211" t="str">
            <v>N</v>
          </cell>
          <cell r="S211" t="str">
            <v>N</v>
          </cell>
          <cell r="T211">
            <v>0</v>
          </cell>
          <cell r="U211" t="str">
            <v>Ix2</v>
          </cell>
          <cell r="V211">
            <v>0</v>
          </cell>
          <cell r="W211">
            <v>0</v>
          </cell>
          <cell r="X211" t="e">
            <v>#N/A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A212">
            <v>211</v>
          </cell>
          <cell r="B212">
            <v>0</v>
          </cell>
          <cell r="C212" t="str">
            <v xml:space="preserve"> </v>
          </cell>
          <cell r="D212" t="e">
            <v>#N/A</v>
          </cell>
          <cell r="E212" t="e">
            <v>#N/A</v>
          </cell>
          <cell r="F212" t="e">
            <v>#N/A</v>
          </cell>
          <cell r="G212">
            <v>0</v>
          </cell>
          <cell r="H212">
            <v>0</v>
          </cell>
          <cell r="I212" t="str">
            <v xml:space="preserve"> 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176</v>
          </cell>
          <cell r="Q212">
            <v>0</v>
          </cell>
          <cell r="R212" t="str">
            <v>N</v>
          </cell>
          <cell r="S212" t="str">
            <v>N</v>
          </cell>
          <cell r="T212">
            <v>0</v>
          </cell>
          <cell r="U212" t="str">
            <v>Ix2</v>
          </cell>
          <cell r="V212">
            <v>0</v>
          </cell>
          <cell r="W212">
            <v>0</v>
          </cell>
          <cell r="X212" t="e">
            <v>#N/A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>
            <v>212</v>
          </cell>
          <cell r="B213">
            <v>0</v>
          </cell>
          <cell r="C213" t="str">
            <v xml:space="preserve"> </v>
          </cell>
          <cell r="D213" t="e">
            <v>#N/A</v>
          </cell>
          <cell r="E213" t="e">
            <v>#N/A</v>
          </cell>
          <cell r="F213" t="e">
            <v>#N/A</v>
          </cell>
          <cell r="G213">
            <v>0</v>
          </cell>
          <cell r="H213">
            <v>0</v>
          </cell>
          <cell r="I213" t="str">
            <v xml:space="preserve"> 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176</v>
          </cell>
          <cell r="Q213">
            <v>0</v>
          </cell>
          <cell r="R213" t="str">
            <v>N</v>
          </cell>
          <cell r="S213" t="str">
            <v>N</v>
          </cell>
          <cell r="T213">
            <v>0</v>
          </cell>
          <cell r="U213" t="str">
            <v>Ix2</v>
          </cell>
          <cell r="V213">
            <v>0</v>
          </cell>
          <cell r="W213">
            <v>0</v>
          </cell>
          <cell r="X213" t="e">
            <v>#N/A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A214">
            <v>213</v>
          </cell>
          <cell r="B214">
            <v>0</v>
          </cell>
          <cell r="C214" t="str">
            <v xml:space="preserve"> </v>
          </cell>
          <cell r="D214" t="e">
            <v>#N/A</v>
          </cell>
          <cell r="E214" t="e">
            <v>#N/A</v>
          </cell>
          <cell r="F214" t="e">
            <v>#N/A</v>
          </cell>
          <cell r="G214">
            <v>0</v>
          </cell>
          <cell r="H214">
            <v>0</v>
          </cell>
          <cell r="I214" t="str">
            <v xml:space="preserve"> 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176</v>
          </cell>
          <cell r="Q214">
            <v>0</v>
          </cell>
          <cell r="R214" t="str">
            <v>N</v>
          </cell>
          <cell r="S214" t="str">
            <v>N</v>
          </cell>
          <cell r="T214">
            <v>0</v>
          </cell>
          <cell r="U214" t="str">
            <v>Ix2</v>
          </cell>
          <cell r="V214">
            <v>0</v>
          </cell>
          <cell r="W214">
            <v>0</v>
          </cell>
          <cell r="X214" t="e">
            <v>#N/A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A215">
            <v>214</v>
          </cell>
          <cell r="B215">
            <v>0</v>
          </cell>
          <cell r="C215" t="str">
            <v xml:space="preserve"> </v>
          </cell>
          <cell r="D215" t="e">
            <v>#N/A</v>
          </cell>
          <cell r="E215" t="e">
            <v>#N/A</v>
          </cell>
          <cell r="F215" t="e">
            <v>#N/A</v>
          </cell>
          <cell r="G215">
            <v>0</v>
          </cell>
          <cell r="H215">
            <v>0</v>
          </cell>
          <cell r="I215" t="str">
            <v xml:space="preserve"> 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176</v>
          </cell>
          <cell r="Q215">
            <v>0</v>
          </cell>
          <cell r="R215" t="str">
            <v>N</v>
          </cell>
          <cell r="S215" t="str">
            <v>N</v>
          </cell>
          <cell r="T215">
            <v>0</v>
          </cell>
          <cell r="U215" t="str">
            <v>Ix2</v>
          </cell>
          <cell r="V215">
            <v>0</v>
          </cell>
          <cell r="W215">
            <v>0</v>
          </cell>
          <cell r="X215" t="e">
            <v>#N/A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>
            <v>215</v>
          </cell>
          <cell r="B216">
            <v>0</v>
          </cell>
          <cell r="C216" t="str">
            <v xml:space="preserve"> </v>
          </cell>
          <cell r="D216" t="e">
            <v>#N/A</v>
          </cell>
          <cell r="E216" t="e">
            <v>#N/A</v>
          </cell>
          <cell r="F216" t="e">
            <v>#N/A</v>
          </cell>
          <cell r="G216">
            <v>0</v>
          </cell>
          <cell r="H216">
            <v>0</v>
          </cell>
          <cell r="I216" t="str">
            <v xml:space="preserve"> 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176</v>
          </cell>
          <cell r="Q216">
            <v>0</v>
          </cell>
          <cell r="R216" t="str">
            <v>N</v>
          </cell>
          <cell r="S216" t="str">
            <v>N</v>
          </cell>
          <cell r="T216">
            <v>0</v>
          </cell>
          <cell r="U216" t="str">
            <v>Ix2</v>
          </cell>
          <cell r="V216">
            <v>0</v>
          </cell>
          <cell r="W216">
            <v>0</v>
          </cell>
          <cell r="X216" t="e">
            <v>#N/A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A217">
            <v>216</v>
          </cell>
          <cell r="B217">
            <v>0</v>
          </cell>
          <cell r="C217" t="str">
            <v xml:space="preserve"> </v>
          </cell>
          <cell r="D217" t="e">
            <v>#N/A</v>
          </cell>
          <cell r="E217" t="e">
            <v>#N/A</v>
          </cell>
          <cell r="F217" t="e">
            <v>#N/A</v>
          </cell>
          <cell r="G217">
            <v>0</v>
          </cell>
          <cell r="H217">
            <v>0</v>
          </cell>
          <cell r="I217" t="str">
            <v xml:space="preserve"> 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176</v>
          </cell>
          <cell r="Q217">
            <v>0</v>
          </cell>
          <cell r="R217" t="str">
            <v>N</v>
          </cell>
          <cell r="S217" t="str">
            <v>N</v>
          </cell>
          <cell r="T217">
            <v>0</v>
          </cell>
          <cell r="U217" t="str">
            <v>Ix2</v>
          </cell>
          <cell r="V217">
            <v>0</v>
          </cell>
          <cell r="W217">
            <v>0</v>
          </cell>
          <cell r="X217" t="e">
            <v>#N/A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A218">
            <v>217</v>
          </cell>
          <cell r="B218">
            <v>0</v>
          </cell>
          <cell r="C218" t="str">
            <v xml:space="preserve"> </v>
          </cell>
          <cell r="D218" t="e">
            <v>#N/A</v>
          </cell>
          <cell r="E218" t="e">
            <v>#N/A</v>
          </cell>
          <cell r="F218" t="e">
            <v>#N/A</v>
          </cell>
          <cell r="G218">
            <v>0</v>
          </cell>
          <cell r="H218">
            <v>0</v>
          </cell>
          <cell r="I218" t="str">
            <v xml:space="preserve"> 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176</v>
          </cell>
          <cell r="Q218">
            <v>0</v>
          </cell>
          <cell r="R218" t="str">
            <v>N</v>
          </cell>
          <cell r="S218" t="str">
            <v>N</v>
          </cell>
          <cell r="T218">
            <v>0</v>
          </cell>
          <cell r="U218" t="str">
            <v>Ix2</v>
          </cell>
          <cell r="V218">
            <v>0</v>
          </cell>
          <cell r="W218">
            <v>0</v>
          </cell>
          <cell r="X218" t="e">
            <v>#N/A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>
            <v>218</v>
          </cell>
          <cell r="B219">
            <v>0</v>
          </cell>
          <cell r="C219" t="str">
            <v xml:space="preserve"> </v>
          </cell>
          <cell r="D219" t="e">
            <v>#N/A</v>
          </cell>
          <cell r="E219" t="e">
            <v>#N/A</v>
          </cell>
          <cell r="F219" t="e">
            <v>#N/A</v>
          </cell>
          <cell r="G219">
            <v>0</v>
          </cell>
          <cell r="H219">
            <v>0</v>
          </cell>
          <cell r="I219" t="str">
            <v xml:space="preserve"> 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176</v>
          </cell>
          <cell r="Q219">
            <v>0</v>
          </cell>
          <cell r="R219" t="str">
            <v>N</v>
          </cell>
          <cell r="S219" t="str">
            <v>N</v>
          </cell>
          <cell r="T219">
            <v>0</v>
          </cell>
          <cell r="U219" t="str">
            <v>Ix2</v>
          </cell>
          <cell r="V219">
            <v>0</v>
          </cell>
          <cell r="W219">
            <v>0</v>
          </cell>
          <cell r="X219" t="e">
            <v>#N/A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A220">
            <v>219</v>
          </cell>
          <cell r="B220">
            <v>0</v>
          </cell>
          <cell r="C220" t="str">
            <v xml:space="preserve"> </v>
          </cell>
          <cell r="D220" t="e">
            <v>#N/A</v>
          </cell>
          <cell r="E220" t="e">
            <v>#N/A</v>
          </cell>
          <cell r="F220" t="e">
            <v>#N/A</v>
          </cell>
          <cell r="G220">
            <v>0</v>
          </cell>
          <cell r="H220">
            <v>0</v>
          </cell>
          <cell r="I220" t="str">
            <v xml:space="preserve"> 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176</v>
          </cell>
          <cell r="Q220">
            <v>0</v>
          </cell>
          <cell r="R220" t="str">
            <v>N</v>
          </cell>
          <cell r="S220" t="str">
            <v>N</v>
          </cell>
          <cell r="T220">
            <v>0</v>
          </cell>
          <cell r="U220" t="str">
            <v>Ix2</v>
          </cell>
          <cell r="V220">
            <v>0</v>
          </cell>
          <cell r="W220">
            <v>0</v>
          </cell>
          <cell r="X220" t="e">
            <v>#N/A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A221">
            <v>220</v>
          </cell>
          <cell r="B221">
            <v>0</v>
          </cell>
          <cell r="C221" t="str">
            <v xml:space="preserve"> </v>
          </cell>
          <cell r="D221" t="e">
            <v>#N/A</v>
          </cell>
          <cell r="E221" t="e">
            <v>#N/A</v>
          </cell>
          <cell r="F221" t="e">
            <v>#N/A</v>
          </cell>
          <cell r="G221">
            <v>0</v>
          </cell>
          <cell r="H221">
            <v>0</v>
          </cell>
          <cell r="I221" t="str">
            <v xml:space="preserve"> 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176</v>
          </cell>
          <cell r="Q221">
            <v>0</v>
          </cell>
          <cell r="R221" t="str">
            <v>N</v>
          </cell>
          <cell r="S221" t="str">
            <v>N</v>
          </cell>
          <cell r="T221">
            <v>0</v>
          </cell>
          <cell r="U221" t="str">
            <v>Ix2</v>
          </cell>
          <cell r="V221">
            <v>0</v>
          </cell>
          <cell r="W221">
            <v>0</v>
          </cell>
          <cell r="X221" t="e">
            <v>#N/A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>
            <v>221</v>
          </cell>
          <cell r="B222">
            <v>0</v>
          </cell>
          <cell r="C222" t="str">
            <v xml:space="preserve"> </v>
          </cell>
          <cell r="D222" t="e">
            <v>#N/A</v>
          </cell>
          <cell r="E222" t="e">
            <v>#N/A</v>
          </cell>
          <cell r="F222" t="e">
            <v>#N/A</v>
          </cell>
          <cell r="G222">
            <v>0</v>
          </cell>
          <cell r="H222">
            <v>0</v>
          </cell>
          <cell r="I222" t="str">
            <v xml:space="preserve"> 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176</v>
          </cell>
          <cell r="Q222">
            <v>0</v>
          </cell>
          <cell r="R222" t="str">
            <v>N</v>
          </cell>
          <cell r="S222" t="str">
            <v>N</v>
          </cell>
          <cell r="T222">
            <v>0</v>
          </cell>
          <cell r="U222" t="str">
            <v>Ix2</v>
          </cell>
          <cell r="V222">
            <v>0</v>
          </cell>
          <cell r="W222">
            <v>0</v>
          </cell>
          <cell r="X222" t="e">
            <v>#N/A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>
            <v>222</v>
          </cell>
          <cell r="B223">
            <v>0</v>
          </cell>
          <cell r="C223" t="str">
            <v xml:space="preserve"> </v>
          </cell>
          <cell r="D223" t="e">
            <v>#N/A</v>
          </cell>
          <cell r="E223" t="e">
            <v>#N/A</v>
          </cell>
          <cell r="F223" t="e">
            <v>#N/A</v>
          </cell>
          <cell r="G223">
            <v>0</v>
          </cell>
          <cell r="H223">
            <v>0</v>
          </cell>
          <cell r="I223" t="str">
            <v xml:space="preserve"> 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176</v>
          </cell>
          <cell r="Q223">
            <v>0</v>
          </cell>
          <cell r="R223" t="str">
            <v>N</v>
          </cell>
          <cell r="S223" t="str">
            <v>N</v>
          </cell>
          <cell r="T223">
            <v>0</v>
          </cell>
          <cell r="U223" t="str">
            <v>Ix2</v>
          </cell>
          <cell r="V223">
            <v>0</v>
          </cell>
          <cell r="W223">
            <v>0</v>
          </cell>
          <cell r="X223" t="e">
            <v>#N/A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>
            <v>223</v>
          </cell>
          <cell r="B224">
            <v>0</v>
          </cell>
          <cell r="C224" t="str">
            <v xml:space="preserve"> </v>
          </cell>
          <cell r="D224" t="e">
            <v>#N/A</v>
          </cell>
          <cell r="E224" t="e">
            <v>#N/A</v>
          </cell>
          <cell r="F224" t="e">
            <v>#N/A</v>
          </cell>
          <cell r="G224">
            <v>0</v>
          </cell>
          <cell r="H224">
            <v>0</v>
          </cell>
          <cell r="I224" t="str">
            <v xml:space="preserve"> 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176</v>
          </cell>
          <cell r="Q224">
            <v>0</v>
          </cell>
          <cell r="R224" t="str">
            <v>N</v>
          </cell>
          <cell r="S224" t="str">
            <v>N</v>
          </cell>
          <cell r="T224">
            <v>0</v>
          </cell>
          <cell r="U224" t="str">
            <v>Ix2</v>
          </cell>
          <cell r="V224">
            <v>0</v>
          </cell>
          <cell r="W224">
            <v>0</v>
          </cell>
          <cell r="X224" t="e">
            <v>#N/A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>
            <v>224</v>
          </cell>
          <cell r="B225">
            <v>0</v>
          </cell>
          <cell r="C225" t="str">
            <v xml:space="preserve"> </v>
          </cell>
          <cell r="D225" t="e">
            <v>#N/A</v>
          </cell>
          <cell r="E225" t="e">
            <v>#N/A</v>
          </cell>
          <cell r="F225" t="e">
            <v>#N/A</v>
          </cell>
          <cell r="G225">
            <v>0</v>
          </cell>
          <cell r="H225">
            <v>0</v>
          </cell>
          <cell r="I225" t="str">
            <v xml:space="preserve"> 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176</v>
          </cell>
          <cell r="Q225">
            <v>0</v>
          </cell>
          <cell r="R225" t="str">
            <v>N</v>
          </cell>
          <cell r="S225" t="str">
            <v>N</v>
          </cell>
          <cell r="T225">
            <v>0</v>
          </cell>
          <cell r="U225" t="str">
            <v>Ix2</v>
          </cell>
          <cell r="V225">
            <v>0</v>
          </cell>
          <cell r="W225">
            <v>0</v>
          </cell>
          <cell r="X225" t="e">
            <v>#N/A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6">
          <cell r="A226">
            <v>225</v>
          </cell>
          <cell r="B226">
            <v>0</v>
          </cell>
          <cell r="C226" t="str">
            <v xml:space="preserve"> </v>
          </cell>
          <cell r="D226" t="e">
            <v>#N/A</v>
          </cell>
          <cell r="E226" t="e">
            <v>#N/A</v>
          </cell>
          <cell r="F226" t="e">
            <v>#N/A</v>
          </cell>
          <cell r="G226">
            <v>0</v>
          </cell>
          <cell r="H226">
            <v>0</v>
          </cell>
          <cell r="I226" t="str">
            <v xml:space="preserve"> 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176</v>
          </cell>
          <cell r="Q226">
            <v>0</v>
          </cell>
          <cell r="R226" t="str">
            <v>N</v>
          </cell>
          <cell r="S226" t="str">
            <v>N</v>
          </cell>
          <cell r="T226">
            <v>0</v>
          </cell>
          <cell r="U226" t="str">
            <v>Ix2</v>
          </cell>
          <cell r="V226">
            <v>0</v>
          </cell>
          <cell r="W226">
            <v>0</v>
          </cell>
          <cell r="X226" t="e">
            <v>#N/A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>
            <v>226</v>
          </cell>
          <cell r="B227">
            <v>0</v>
          </cell>
          <cell r="C227" t="str">
            <v xml:space="preserve"> </v>
          </cell>
          <cell r="D227" t="e">
            <v>#N/A</v>
          </cell>
          <cell r="E227" t="e">
            <v>#N/A</v>
          </cell>
          <cell r="F227" t="e">
            <v>#N/A</v>
          </cell>
          <cell r="G227">
            <v>0</v>
          </cell>
          <cell r="H227">
            <v>0</v>
          </cell>
          <cell r="I227" t="str">
            <v xml:space="preserve"> 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176</v>
          </cell>
          <cell r="Q227">
            <v>0</v>
          </cell>
          <cell r="R227" t="str">
            <v>N</v>
          </cell>
          <cell r="S227" t="str">
            <v>N</v>
          </cell>
          <cell r="T227">
            <v>0</v>
          </cell>
          <cell r="U227" t="str">
            <v>Ix2</v>
          </cell>
          <cell r="V227">
            <v>0</v>
          </cell>
          <cell r="W227">
            <v>0</v>
          </cell>
          <cell r="X227" t="e">
            <v>#N/A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A228">
            <v>227</v>
          </cell>
          <cell r="B228">
            <v>0</v>
          </cell>
          <cell r="C228" t="str">
            <v xml:space="preserve"> </v>
          </cell>
          <cell r="D228" t="e">
            <v>#N/A</v>
          </cell>
          <cell r="E228" t="e">
            <v>#N/A</v>
          </cell>
          <cell r="F228" t="e">
            <v>#N/A</v>
          </cell>
          <cell r="G228">
            <v>0</v>
          </cell>
          <cell r="H228">
            <v>0</v>
          </cell>
          <cell r="I228" t="str">
            <v xml:space="preserve"> 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176</v>
          </cell>
          <cell r="Q228">
            <v>0</v>
          </cell>
          <cell r="R228" t="str">
            <v>N</v>
          </cell>
          <cell r="S228" t="str">
            <v>N</v>
          </cell>
          <cell r="T228">
            <v>0</v>
          </cell>
          <cell r="U228" t="str">
            <v>Ix2</v>
          </cell>
          <cell r="V228">
            <v>0</v>
          </cell>
          <cell r="W228">
            <v>0</v>
          </cell>
          <cell r="X228" t="e">
            <v>#N/A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A229">
            <v>228</v>
          </cell>
          <cell r="B229">
            <v>0</v>
          </cell>
          <cell r="C229" t="str">
            <v xml:space="preserve"> </v>
          </cell>
          <cell r="D229" t="e">
            <v>#N/A</v>
          </cell>
          <cell r="E229" t="e">
            <v>#N/A</v>
          </cell>
          <cell r="F229" t="e">
            <v>#N/A</v>
          </cell>
          <cell r="G229">
            <v>0</v>
          </cell>
          <cell r="H229">
            <v>0</v>
          </cell>
          <cell r="I229" t="str">
            <v xml:space="preserve"> 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176</v>
          </cell>
          <cell r="Q229">
            <v>0</v>
          </cell>
          <cell r="R229" t="str">
            <v>N</v>
          </cell>
          <cell r="S229" t="str">
            <v>N</v>
          </cell>
          <cell r="T229">
            <v>0</v>
          </cell>
          <cell r="U229" t="str">
            <v>Ix2</v>
          </cell>
          <cell r="V229">
            <v>0</v>
          </cell>
          <cell r="W229">
            <v>0</v>
          </cell>
          <cell r="X229" t="e">
            <v>#N/A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>
            <v>229</v>
          </cell>
          <cell r="B230">
            <v>0</v>
          </cell>
          <cell r="C230" t="str">
            <v xml:space="preserve"> </v>
          </cell>
          <cell r="D230" t="e">
            <v>#N/A</v>
          </cell>
          <cell r="E230" t="e">
            <v>#N/A</v>
          </cell>
          <cell r="F230" t="e">
            <v>#N/A</v>
          </cell>
          <cell r="G230">
            <v>0</v>
          </cell>
          <cell r="H230">
            <v>0</v>
          </cell>
          <cell r="I230" t="str">
            <v xml:space="preserve"> 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176</v>
          </cell>
          <cell r="Q230">
            <v>0</v>
          </cell>
          <cell r="R230" t="str">
            <v>N</v>
          </cell>
          <cell r="S230" t="str">
            <v>N</v>
          </cell>
          <cell r="T230">
            <v>0</v>
          </cell>
          <cell r="U230" t="str">
            <v>Ix2</v>
          </cell>
          <cell r="V230">
            <v>0</v>
          </cell>
          <cell r="W230">
            <v>0</v>
          </cell>
          <cell r="X230" t="e">
            <v>#N/A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>
            <v>230</v>
          </cell>
          <cell r="B231">
            <v>0</v>
          </cell>
          <cell r="C231" t="str">
            <v xml:space="preserve"> </v>
          </cell>
          <cell r="D231" t="e">
            <v>#N/A</v>
          </cell>
          <cell r="E231" t="e">
            <v>#N/A</v>
          </cell>
          <cell r="F231" t="e">
            <v>#N/A</v>
          </cell>
          <cell r="G231">
            <v>0</v>
          </cell>
          <cell r="H231">
            <v>0</v>
          </cell>
          <cell r="I231" t="str">
            <v xml:space="preserve"> 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176</v>
          </cell>
          <cell r="Q231">
            <v>0</v>
          </cell>
          <cell r="R231" t="str">
            <v>N</v>
          </cell>
          <cell r="S231" t="str">
            <v>N</v>
          </cell>
          <cell r="T231">
            <v>0</v>
          </cell>
          <cell r="U231" t="str">
            <v>Ix2</v>
          </cell>
          <cell r="V231">
            <v>0</v>
          </cell>
          <cell r="W231">
            <v>0</v>
          </cell>
          <cell r="X231" t="e">
            <v>#N/A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A232">
            <v>231</v>
          </cell>
          <cell r="B232">
            <v>0</v>
          </cell>
          <cell r="C232" t="str">
            <v xml:space="preserve"> </v>
          </cell>
          <cell r="D232" t="e">
            <v>#N/A</v>
          </cell>
          <cell r="E232" t="e">
            <v>#N/A</v>
          </cell>
          <cell r="F232" t="e">
            <v>#N/A</v>
          </cell>
          <cell r="G232">
            <v>0</v>
          </cell>
          <cell r="H232">
            <v>0</v>
          </cell>
          <cell r="I232" t="str">
            <v xml:space="preserve"> 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176</v>
          </cell>
          <cell r="Q232">
            <v>0</v>
          </cell>
          <cell r="R232">
            <v>0</v>
          </cell>
          <cell r="S232" t="str">
            <v>N</v>
          </cell>
          <cell r="T232">
            <v>0</v>
          </cell>
          <cell r="U232" t="str">
            <v>Ix2</v>
          </cell>
          <cell r="V232">
            <v>0</v>
          </cell>
          <cell r="W232">
            <v>0</v>
          </cell>
          <cell r="X232" t="e">
            <v>#N/A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>
            <v>232</v>
          </cell>
          <cell r="B233">
            <v>0</v>
          </cell>
          <cell r="C233" t="str">
            <v xml:space="preserve"> </v>
          </cell>
          <cell r="D233" t="e">
            <v>#N/A</v>
          </cell>
          <cell r="E233" t="e">
            <v>#N/A</v>
          </cell>
          <cell r="F233" t="e">
            <v>#N/A</v>
          </cell>
          <cell r="G233">
            <v>0</v>
          </cell>
          <cell r="H233">
            <v>0</v>
          </cell>
          <cell r="I233" t="str">
            <v xml:space="preserve"> 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176</v>
          </cell>
          <cell r="Q233">
            <v>0</v>
          </cell>
          <cell r="R233">
            <v>0</v>
          </cell>
          <cell r="S233" t="str">
            <v>N</v>
          </cell>
          <cell r="T233">
            <v>0</v>
          </cell>
          <cell r="U233" t="str">
            <v>Ix2</v>
          </cell>
          <cell r="V233">
            <v>0</v>
          </cell>
          <cell r="W233">
            <v>0</v>
          </cell>
          <cell r="X233" t="e">
            <v>#N/A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A234">
            <v>233</v>
          </cell>
          <cell r="B234">
            <v>0</v>
          </cell>
          <cell r="C234" t="str">
            <v xml:space="preserve"> </v>
          </cell>
          <cell r="D234" t="e">
            <v>#N/A</v>
          </cell>
          <cell r="E234" t="e">
            <v>#N/A</v>
          </cell>
          <cell r="F234" t="e">
            <v>#N/A</v>
          </cell>
          <cell r="G234">
            <v>0</v>
          </cell>
          <cell r="H234">
            <v>0</v>
          </cell>
          <cell r="I234" t="str">
            <v xml:space="preserve"> 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176</v>
          </cell>
          <cell r="Q234">
            <v>0</v>
          </cell>
          <cell r="R234">
            <v>0</v>
          </cell>
          <cell r="S234" t="str">
            <v>N</v>
          </cell>
          <cell r="T234">
            <v>0</v>
          </cell>
          <cell r="U234" t="str">
            <v>Ix2</v>
          </cell>
          <cell r="V234">
            <v>0</v>
          </cell>
          <cell r="W234">
            <v>0</v>
          </cell>
          <cell r="X234" t="e">
            <v>#N/A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A235">
            <v>234</v>
          </cell>
          <cell r="B235">
            <v>0</v>
          </cell>
          <cell r="C235" t="str">
            <v xml:space="preserve"> </v>
          </cell>
          <cell r="D235" t="e">
            <v>#N/A</v>
          </cell>
          <cell r="E235" t="e">
            <v>#N/A</v>
          </cell>
          <cell r="F235" t="e">
            <v>#N/A</v>
          </cell>
          <cell r="G235">
            <v>0</v>
          </cell>
          <cell r="H235">
            <v>0</v>
          </cell>
          <cell r="I235" t="str">
            <v xml:space="preserve"> 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176</v>
          </cell>
          <cell r="Q235">
            <v>0</v>
          </cell>
          <cell r="R235">
            <v>0</v>
          </cell>
          <cell r="S235" t="str">
            <v>N</v>
          </cell>
          <cell r="T235">
            <v>0</v>
          </cell>
          <cell r="U235" t="str">
            <v>Ix2</v>
          </cell>
          <cell r="V235">
            <v>0</v>
          </cell>
          <cell r="W235">
            <v>0</v>
          </cell>
          <cell r="X235" t="e">
            <v>#N/A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A236">
            <v>235</v>
          </cell>
          <cell r="B236">
            <v>0</v>
          </cell>
          <cell r="C236" t="str">
            <v xml:space="preserve"> </v>
          </cell>
          <cell r="D236" t="e">
            <v>#N/A</v>
          </cell>
          <cell r="E236" t="e">
            <v>#N/A</v>
          </cell>
          <cell r="F236" t="e">
            <v>#N/A</v>
          </cell>
          <cell r="G236">
            <v>0</v>
          </cell>
          <cell r="H236">
            <v>0</v>
          </cell>
          <cell r="I236" t="str">
            <v xml:space="preserve"> 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176</v>
          </cell>
          <cell r="Q236">
            <v>0</v>
          </cell>
          <cell r="R236">
            <v>0</v>
          </cell>
          <cell r="S236" t="str">
            <v>N</v>
          </cell>
          <cell r="T236">
            <v>0</v>
          </cell>
          <cell r="U236" t="str">
            <v>Ix2</v>
          </cell>
          <cell r="V236">
            <v>0</v>
          </cell>
          <cell r="W236">
            <v>0</v>
          </cell>
          <cell r="X236" t="e">
            <v>#N/A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A237">
            <v>236</v>
          </cell>
          <cell r="B237">
            <v>0</v>
          </cell>
          <cell r="C237" t="str">
            <v xml:space="preserve"> </v>
          </cell>
          <cell r="D237" t="e">
            <v>#N/A</v>
          </cell>
          <cell r="E237" t="e">
            <v>#N/A</v>
          </cell>
          <cell r="F237" t="e">
            <v>#N/A</v>
          </cell>
          <cell r="G237">
            <v>0</v>
          </cell>
          <cell r="H237">
            <v>0</v>
          </cell>
          <cell r="I237" t="str">
            <v xml:space="preserve"> 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176</v>
          </cell>
          <cell r="Q237">
            <v>0</v>
          </cell>
          <cell r="R237">
            <v>0</v>
          </cell>
          <cell r="S237" t="str">
            <v>N</v>
          </cell>
          <cell r="T237">
            <v>0</v>
          </cell>
          <cell r="U237" t="str">
            <v>Ix2</v>
          </cell>
          <cell r="V237">
            <v>0</v>
          </cell>
          <cell r="W237">
            <v>0</v>
          </cell>
          <cell r="X237" t="e">
            <v>#N/A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A238">
            <v>237</v>
          </cell>
          <cell r="B238">
            <v>0</v>
          </cell>
          <cell r="C238" t="str">
            <v xml:space="preserve"> </v>
          </cell>
          <cell r="D238" t="e">
            <v>#N/A</v>
          </cell>
          <cell r="E238" t="e">
            <v>#N/A</v>
          </cell>
          <cell r="F238" t="e">
            <v>#N/A</v>
          </cell>
          <cell r="G238">
            <v>0</v>
          </cell>
          <cell r="H238">
            <v>0</v>
          </cell>
          <cell r="I238" t="str">
            <v xml:space="preserve"> 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176</v>
          </cell>
          <cell r="Q238">
            <v>0</v>
          </cell>
          <cell r="R238">
            <v>0</v>
          </cell>
          <cell r="S238" t="str">
            <v>N</v>
          </cell>
          <cell r="T238">
            <v>0</v>
          </cell>
          <cell r="U238" t="str">
            <v>Ix2</v>
          </cell>
          <cell r="V238">
            <v>0</v>
          </cell>
          <cell r="W238">
            <v>0</v>
          </cell>
          <cell r="X238" t="e">
            <v>#N/A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>
            <v>238</v>
          </cell>
          <cell r="B239">
            <v>0</v>
          </cell>
          <cell r="C239" t="str">
            <v xml:space="preserve"> </v>
          </cell>
          <cell r="D239" t="e">
            <v>#N/A</v>
          </cell>
          <cell r="E239" t="e">
            <v>#N/A</v>
          </cell>
          <cell r="F239" t="e">
            <v>#N/A</v>
          </cell>
          <cell r="G239">
            <v>0</v>
          </cell>
          <cell r="H239">
            <v>0</v>
          </cell>
          <cell r="I239" t="str">
            <v xml:space="preserve"> 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176</v>
          </cell>
          <cell r="Q239">
            <v>0</v>
          </cell>
          <cell r="R239">
            <v>0</v>
          </cell>
          <cell r="S239" t="str">
            <v>N</v>
          </cell>
          <cell r="T239">
            <v>0</v>
          </cell>
          <cell r="U239" t="str">
            <v>Ix2</v>
          </cell>
          <cell r="V239">
            <v>0</v>
          </cell>
          <cell r="W239">
            <v>0</v>
          </cell>
          <cell r="X239" t="e">
            <v>#N/A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>
            <v>239</v>
          </cell>
          <cell r="B240">
            <v>0</v>
          </cell>
          <cell r="C240" t="str">
            <v xml:space="preserve"> </v>
          </cell>
          <cell r="D240" t="e">
            <v>#N/A</v>
          </cell>
          <cell r="E240" t="e">
            <v>#N/A</v>
          </cell>
          <cell r="F240" t="e">
            <v>#N/A</v>
          </cell>
          <cell r="G240">
            <v>0</v>
          </cell>
          <cell r="H240">
            <v>0</v>
          </cell>
          <cell r="I240" t="str">
            <v xml:space="preserve"> 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176</v>
          </cell>
          <cell r="Q240">
            <v>0</v>
          </cell>
          <cell r="R240">
            <v>0</v>
          </cell>
          <cell r="S240" t="str">
            <v>N</v>
          </cell>
          <cell r="T240">
            <v>0</v>
          </cell>
          <cell r="U240" t="str">
            <v>Ix2</v>
          </cell>
          <cell r="V240">
            <v>0</v>
          </cell>
          <cell r="W240">
            <v>0</v>
          </cell>
          <cell r="X240" t="e">
            <v>#N/A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>
            <v>240</v>
          </cell>
          <cell r="B241">
            <v>0</v>
          </cell>
          <cell r="C241" t="str">
            <v xml:space="preserve"> </v>
          </cell>
          <cell r="D241" t="e">
            <v>#N/A</v>
          </cell>
          <cell r="E241" t="e">
            <v>#N/A</v>
          </cell>
          <cell r="F241" t="e">
            <v>#N/A</v>
          </cell>
          <cell r="G241">
            <v>0</v>
          </cell>
          <cell r="H241">
            <v>0</v>
          </cell>
          <cell r="I241" t="str">
            <v xml:space="preserve"> 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176</v>
          </cell>
          <cell r="Q241">
            <v>0</v>
          </cell>
          <cell r="R241">
            <v>0</v>
          </cell>
          <cell r="S241" t="str">
            <v>N</v>
          </cell>
          <cell r="T241">
            <v>0</v>
          </cell>
          <cell r="U241" t="str">
            <v>Ix2</v>
          </cell>
          <cell r="V241">
            <v>0</v>
          </cell>
          <cell r="W241">
            <v>0</v>
          </cell>
          <cell r="X241" t="e">
            <v>#N/A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>
            <v>241</v>
          </cell>
          <cell r="B242">
            <v>0</v>
          </cell>
          <cell r="C242" t="str">
            <v xml:space="preserve"> </v>
          </cell>
          <cell r="D242" t="e">
            <v>#N/A</v>
          </cell>
          <cell r="E242" t="e">
            <v>#N/A</v>
          </cell>
          <cell r="F242" t="e">
            <v>#N/A</v>
          </cell>
          <cell r="G242">
            <v>0</v>
          </cell>
          <cell r="H242">
            <v>0</v>
          </cell>
          <cell r="I242" t="str">
            <v xml:space="preserve"> 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176</v>
          </cell>
          <cell r="Q242">
            <v>0</v>
          </cell>
          <cell r="R242">
            <v>0</v>
          </cell>
          <cell r="S242" t="str">
            <v>N</v>
          </cell>
          <cell r="T242">
            <v>0</v>
          </cell>
          <cell r="U242" t="str">
            <v>Ix2</v>
          </cell>
          <cell r="V242">
            <v>0</v>
          </cell>
          <cell r="W242">
            <v>0</v>
          </cell>
          <cell r="X242" t="e">
            <v>#N/A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A243">
            <v>242</v>
          </cell>
          <cell r="B243">
            <v>0</v>
          </cell>
          <cell r="C243" t="str">
            <v xml:space="preserve"> </v>
          </cell>
          <cell r="D243" t="e">
            <v>#N/A</v>
          </cell>
          <cell r="E243" t="e">
            <v>#N/A</v>
          </cell>
          <cell r="F243" t="e">
            <v>#N/A</v>
          </cell>
          <cell r="G243">
            <v>0</v>
          </cell>
          <cell r="H243">
            <v>0</v>
          </cell>
          <cell r="I243" t="str">
            <v xml:space="preserve"> 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176</v>
          </cell>
          <cell r="Q243">
            <v>0</v>
          </cell>
          <cell r="R243">
            <v>0</v>
          </cell>
          <cell r="S243" t="str">
            <v>N</v>
          </cell>
          <cell r="T243">
            <v>0</v>
          </cell>
          <cell r="U243" t="str">
            <v>Ix2</v>
          </cell>
          <cell r="V243">
            <v>0</v>
          </cell>
          <cell r="W243">
            <v>0</v>
          </cell>
          <cell r="X243" t="e">
            <v>#N/A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>
            <v>243</v>
          </cell>
          <cell r="B244">
            <v>0</v>
          </cell>
          <cell r="C244" t="str">
            <v xml:space="preserve"> </v>
          </cell>
          <cell r="D244" t="e">
            <v>#N/A</v>
          </cell>
          <cell r="E244" t="e">
            <v>#N/A</v>
          </cell>
          <cell r="F244" t="e">
            <v>#N/A</v>
          </cell>
          <cell r="G244">
            <v>0</v>
          </cell>
          <cell r="H244">
            <v>0</v>
          </cell>
          <cell r="I244" t="str">
            <v xml:space="preserve"> 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176</v>
          </cell>
          <cell r="Q244">
            <v>0</v>
          </cell>
          <cell r="R244">
            <v>0</v>
          </cell>
          <cell r="S244" t="str">
            <v>N</v>
          </cell>
          <cell r="T244">
            <v>0</v>
          </cell>
          <cell r="U244" t="str">
            <v>Ix2</v>
          </cell>
          <cell r="V244">
            <v>0</v>
          </cell>
          <cell r="W244">
            <v>0</v>
          </cell>
          <cell r="X244" t="e">
            <v>#N/A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A245">
            <v>244</v>
          </cell>
          <cell r="B245">
            <v>0</v>
          </cell>
          <cell r="C245" t="str">
            <v xml:space="preserve"> </v>
          </cell>
          <cell r="D245" t="e">
            <v>#N/A</v>
          </cell>
          <cell r="E245" t="e">
            <v>#N/A</v>
          </cell>
          <cell r="F245" t="e">
            <v>#N/A</v>
          </cell>
          <cell r="G245">
            <v>0</v>
          </cell>
          <cell r="H245">
            <v>0</v>
          </cell>
          <cell r="I245" t="str">
            <v xml:space="preserve"> 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176</v>
          </cell>
          <cell r="Q245">
            <v>0</v>
          </cell>
          <cell r="R245">
            <v>0</v>
          </cell>
          <cell r="S245" t="str">
            <v>N</v>
          </cell>
          <cell r="T245">
            <v>0</v>
          </cell>
          <cell r="U245" t="str">
            <v>Ix2</v>
          </cell>
          <cell r="V245">
            <v>0</v>
          </cell>
          <cell r="W245">
            <v>0</v>
          </cell>
          <cell r="X245" t="e">
            <v>#N/A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>
            <v>245</v>
          </cell>
          <cell r="B246">
            <v>0</v>
          </cell>
          <cell r="C246" t="str">
            <v xml:space="preserve"> </v>
          </cell>
          <cell r="D246" t="e">
            <v>#N/A</v>
          </cell>
          <cell r="E246" t="e">
            <v>#N/A</v>
          </cell>
          <cell r="F246" t="e">
            <v>#N/A</v>
          </cell>
          <cell r="G246">
            <v>0</v>
          </cell>
          <cell r="H246">
            <v>0</v>
          </cell>
          <cell r="I246" t="str">
            <v xml:space="preserve"> 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176</v>
          </cell>
          <cell r="Q246">
            <v>0</v>
          </cell>
          <cell r="R246">
            <v>0</v>
          </cell>
          <cell r="S246" t="str">
            <v>N</v>
          </cell>
          <cell r="T246">
            <v>0</v>
          </cell>
          <cell r="U246" t="str">
            <v>Ix2</v>
          </cell>
          <cell r="V246">
            <v>0</v>
          </cell>
          <cell r="W246">
            <v>0</v>
          </cell>
          <cell r="X246" t="e">
            <v>#N/A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A247">
            <v>246</v>
          </cell>
          <cell r="B247">
            <v>0</v>
          </cell>
          <cell r="C247" t="str">
            <v xml:space="preserve"> </v>
          </cell>
          <cell r="D247" t="e">
            <v>#N/A</v>
          </cell>
          <cell r="E247" t="e">
            <v>#N/A</v>
          </cell>
          <cell r="F247" t="e">
            <v>#N/A</v>
          </cell>
          <cell r="G247">
            <v>0</v>
          </cell>
          <cell r="H247">
            <v>0</v>
          </cell>
          <cell r="I247" t="str">
            <v xml:space="preserve"> 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176</v>
          </cell>
          <cell r="Q247">
            <v>0</v>
          </cell>
          <cell r="R247">
            <v>0</v>
          </cell>
          <cell r="S247" t="str">
            <v>N</v>
          </cell>
          <cell r="T247">
            <v>0</v>
          </cell>
          <cell r="U247" t="str">
            <v>Ix2</v>
          </cell>
          <cell r="V247">
            <v>0</v>
          </cell>
          <cell r="W247">
            <v>0</v>
          </cell>
          <cell r="X247" t="e">
            <v>#N/A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>
            <v>247</v>
          </cell>
          <cell r="B248">
            <v>0</v>
          </cell>
          <cell r="C248" t="str">
            <v xml:space="preserve"> </v>
          </cell>
          <cell r="D248" t="e">
            <v>#N/A</v>
          </cell>
          <cell r="E248" t="e">
            <v>#N/A</v>
          </cell>
          <cell r="F248" t="e">
            <v>#N/A</v>
          </cell>
          <cell r="G248">
            <v>0</v>
          </cell>
          <cell r="H248">
            <v>0</v>
          </cell>
          <cell r="I248" t="str">
            <v xml:space="preserve"> 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176</v>
          </cell>
          <cell r="Q248">
            <v>0</v>
          </cell>
          <cell r="R248">
            <v>0</v>
          </cell>
          <cell r="S248" t="str">
            <v>N</v>
          </cell>
          <cell r="T248">
            <v>0</v>
          </cell>
          <cell r="U248" t="str">
            <v>Ix2</v>
          </cell>
          <cell r="V248">
            <v>0</v>
          </cell>
          <cell r="W248">
            <v>0</v>
          </cell>
          <cell r="X248" t="e">
            <v>#N/A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>
            <v>248</v>
          </cell>
          <cell r="B249">
            <v>0</v>
          </cell>
          <cell r="C249" t="str">
            <v xml:space="preserve"> </v>
          </cell>
          <cell r="D249" t="e">
            <v>#N/A</v>
          </cell>
          <cell r="E249" t="e">
            <v>#N/A</v>
          </cell>
          <cell r="F249" t="e">
            <v>#N/A</v>
          </cell>
          <cell r="G249">
            <v>0</v>
          </cell>
          <cell r="H249">
            <v>0</v>
          </cell>
          <cell r="I249" t="str">
            <v xml:space="preserve"> 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176</v>
          </cell>
          <cell r="Q249">
            <v>0</v>
          </cell>
          <cell r="R249">
            <v>0</v>
          </cell>
          <cell r="S249" t="str">
            <v>N</v>
          </cell>
          <cell r="T249">
            <v>0</v>
          </cell>
          <cell r="U249" t="str">
            <v>Ix2</v>
          </cell>
          <cell r="V249">
            <v>0</v>
          </cell>
          <cell r="W249">
            <v>0</v>
          </cell>
          <cell r="X249" t="e">
            <v>#N/A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>
            <v>249</v>
          </cell>
          <cell r="B250">
            <v>0</v>
          </cell>
          <cell r="C250" t="str">
            <v xml:space="preserve"> </v>
          </cell>
          <cell r="D250" t="e">
            <v>#N/A</v>
          </cell>
          <cell r="E250" t="e">
            <v>#N/A</v>
          </cell>
          <cell r="F250" t="e">
            <v>#N/A</v>
          </cell>
          <cell r="G250">
            <v>0</v>
          </cell>
          <cell r="H250">
            <v>0</v>
          </cell>
          <cell r="I250" t="str">
            <v xml:space="preserve"> 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176</v>
          </cell>
          <cell r="Q250">
            <v>0</v>
          </cell>
          <cell r="R250">
            <v>0</v>
          </cell>
          <cell r="S250" t="str">
            <v>N</v>
          </cell>
          <cell r="T250">
            <v>0</v>
          </cell>
          <cell r="U250" t="str">
            <v>Ix2</v>
          </cell>
          <cell r="V250">
            <v>0</v>
          </cell>
          <cell r="W250">
            <v>0</v>
          </cell>
          <cell r="X250" t="e">
            <v>#N/A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>
            <v>250</v>
          </cell>
          <cell r="B251">
            <v>0</v>
          </cell>
          <cell r="C251" t="str">
            <v xml:space="preserve"> </v>
          </cell>
          <cell r="D251" t="e">
            <v>#N/A</v>
          </cell>
          <cell r="E251" t="e">
            <v>#N/A</v>
          </cell>
          <cell r="F251" t="e">
            <v>#N/A</v>
          </cell>
          <cell r="G251">
            <v>0</v>
          </cell>
          <cell r="H251">
            <v>0</v>
          </cell>
          <cell r="I251" t="str">
            <v xml:space="preserve"> 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176</v>
          </cell>
          <cell r="Q251">
            <v>0</v>
          </cell>
          <cell r="R251">
            <v>0</v>
          </cell>
          <cell r="S251" t="str">
            <v>N</v>
          </cell>
          <cell r="T251">
            <v>0</v>
          </cell>
          <cell r="U251" t="str">
            <v>Ix2</v>
          </cell>
          <cell r="V251">
            <v>0</v>
          </cell>
          <cell r="W251">
            <v>0</v>
          </cell>
          <cell r="X251" t="e">
            <v>#N/A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>
            <v>251</v>
          </cell>
          <cell r="B252">
            <v>0</v>
          </cell>
          <cell r="C252" t="str">
            <v xml:space="preserve"> </v>
          </cell>
          <cell r="D252" t="e">
            <v>#N/A</v>
          </cell>
          <cell r="E252" t="e">
            <v>#N/A</v>
          </cell>
          <cell r="F252" t="e">
            <v>#N/A</v>
          </cell>
          <cell r="G252">
            <v>0</v>
          </cell>
          <cell r="H252">
            <v>0</v>
          </cell>
          <cell r="I252" t="str">
            <v xml:space="preserve"> 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176</v>
          </cell>
          <cell r="Q252">
            <v>0</v>
          </cell>
          <cell r="R252">
            <v>0</v>
          </cell>
          <cell r="S252" t="str">
            <v>N</v>
          </cell>
          <cell r="T252">
            <v>0</v>
          </cell>
          <cell r="U252" t="str">
            <v>Ix2</v>
          </cell>
          <cell r="V252">
            <v>0</v>
          </cell>
          <cell r="W252">
            <v>0</v>
          </cell>
          <cell r="X252" t="e">
            <v>#N/A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A253">
            <v>252</v>
          </cell>
          <cell r="B253">
            <v>0</v>
          </cell>
          <cell r="C253" t="str">
            <v xml:space="preserve"> </v>
          </cell>
          <cell r="D253" t="e">
            <v>#N/A</v>
          </cell>
          <cell r="E253" t="e">
            <v>#N/A</v>
          </cell>
          <cell r="F253" t="e">
            <v>#N/A</v>
          </cell>
          <cell r="G253">
            <v>0</v>
          </cell>
          <cell r="H253">
            <v>0</v>
          </cell>
          <cell r="I253" t="str">
            <v xml:space="preserve"> 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176</v>
          </cell>
          <cell r="Q253">
            <v>0</v>
          </cell>
          <cell r="R253">
            <v>0</v>
          </cell>
          <cell r="S253" t="str">
            <v>N</v>
          </cell>
          <cell r="T253">
            <v>0</v>
          </cell>
          <cell r="U253" t="str">
            <v>Ix2</v>
          </cell>
          <cell r="V253">
            <v>0</v>
          </cell>
          <cell r="W253">
            <v>0</v>
          </cell>
          <cell r="X253" t="e">
            <v>#N/A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A254">
            <v>253</v>
          </cell>
          <cell r="B254">
            <v>0</v>
          </cell>
          <cell r="C254" t="str">
            <v xml:space="preserve"> </v>
          </cell>
          <cell r="D254" t="e">
            <v>#N/A</v>
          </cell>
          <cell r="E254" t="e">
            <v>#N/A</v>
          </cell>
          <cell r="F254" t="e">
            <v>#N/A</v>
          </cell>
          <cell r="G254">
            <v>0</v>
          </cell>
          <cell r="H254">
            <v>0</v>
          </cell>
          <cell r="I254" t="str">
            <v xml:space="preserve"> 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176</v>
          </cell>
          <cell r="Q254">
            <v>0</v>
          </cell>
          <cell r="R254">
            <v>0</v>
          </cell>
          <cell r="S254" t="str">
            <v>N</v>
          </cell>
          <cell r="T254">
            <v>0</v>
          </cell>
          <cell r="U254" t="str">
            <v>Ix2</v>
          </cell>
          <cell r="V254">
            <v>0</v>
          </cell>
          <cell r="W254">
            <v>0</v>
          </cell>
          <cell r="X254" t="e">
            <v>#N/A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A255">
            <v>254</v>
          </cell>
          <cell r="B255">
            <v>0</v>
          </cell>
          <cell r="C255" t="str">
            <v xml:space="preserve"> </v>
          </cell>
          <cell r="D255" t="e">
            <v>#N/A</v>
          </cell>
          <cell r="E255" t="e">
            <v>#N/A</v>
          </cell>
          <cell r="F255" t="e">
            <v>#N/A</v>
          </cell>
          <cell r="G255">
            <v>0</v>
          </cell>
          <cell r="H255">
            <v>0</v>
          </cell>
          <cell r="I255" t="str">
            <v xml:space="preserve"> 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176</v>
          </cell>
          <cell r="Q255">
            <v>0</v>
          </cell>
          <cell r="R255">
            <v>0</v>
          </cell>
          <cell r="S255" t="str">
            <v>N</v>
          </cell>
          <cell r="T255">
            <v>0</v>
          </cell>
          <cell r="U255" t="str">
            <v>Ix2</v>
          </cell>
          <cell r="V255">
            <v>0</v>
          </cell>
          <cell r="W255">
            <v>0</v>
          </cell>
          <cell r="X255" t="e">
            <v>#N/A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A256">
            <v>255</v>
          </cell>
          <cell r="B256">
            <v>0</v>
          </cell>
          <cell r="C256" t="str">
            <v xml:space="preserve"> </v>
          </cell>
          <cell r="D256" t="e">
            <v>#N/A</v>
          </cell>
          <cell r="E256" t="e">
            <v>#N/A</v>
          </cell>
          <cell r="F256" t="e">
            <v>#N/A</v>
          </cell>
          <cell r="G256">
            <v>0</v>
          </cell>
          <cell r="H256">
            <v>0</v>
          </cell>
          <cell r="I256" t="str">
            <v xml:space="preserve"> 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176</v>
          </cell>
          <cell r="Q256">
            <v>0</v>
          </cell>
          <cell r="R256">
            <v>0</v>
          </cell>
          <cell r="S256" t="str">
            <v>N</v>
          </cell>
          <cell r="T256">
            <v>0</v>
          </cell>
          <cell r="U256" t="str">
            <v>Ix2</v>
          </cell>
          <cell r="V256">
            <v>0</v>
          </cell>
          <cell r="W256">
            <v>0</v>
          </cell>
          <cell r="X256" t="e">
            <v>#N/A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>
            <v>256</v>
          </cell>
          <cell r="B257">
            <v>0</v>
          </cell>
          <cell r="C257" t="str">
            <v xml:space="preserve"> </v>
          </cell>
          <cell r="D257" t="e">
            <v>#N/A</v>
          </cell>
          <cell r="E257" t="e">
            <v>#N/A</v>
          </cell>
          <cell r="F257" t="e">
            <v>#N/A</v>
          </cell>
          <cell r="G257">
            <v>0</v>
          </cell>
          <cell r="H257">
            <v>0</v>
          </cell>
          <cell r="I257" t="str">
            <v xml:space="preserve"> 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176</v>
          </cell>
          <cell r="Q257">
            <v>0</v>
          </cell>
          <cell r="R257">
            <v>0</v>
          </cell>
          <cell r="S257" t="str">
            <v>N</v>
          </cell>
          <cell r="T257">
            <v>0</v>
          </cell>
          <cell r="U257" t="str">
            <v>Ix2</v>
          </cell>
          <cell r="V257">
            <v>0</v>
          </cell>
          <cell r="W257">
            <v>0</v>
          </cell>
          <cell r="X257" t="e">
            <v>#N/A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>
            <v>257</v>
          </cell>
          <cell r="B258">
            <v>0</v>
          </cell>
          <cell r="C258" t="str">
            <v xml:space="preserve"> </v>
          </cell>
          <cell r="D258" t="e">
            <v>#N/A</v>
          </cell>
          <cell r="E258" t="e">
            <v>#N/A</v>
          </cell>
          <cell r="F258" t="e">
            <v>#N/A</v>
          </cell>
          <cell r="G258">
            <v>0</v>
          </cell>
          <cell r="H258">
            <v>0</v>
          </cell>
          <cell r="I258" t="str">
            <v xml:space="preserve"> 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176</v>
          </cell>
          <cell r="Q258">
            <v>0</v>
          </cell>
          <cell r="R258">
            <v>0</v>
          </cell>
          <cell r="S258" t="str">
            <v>N</v>
          </cell>
          <cell r="T258">
            <v>0</v>
          </cell>
          <cell r="U258" t="str">
            <v>Ix2</v>
          </cell>
          <cell r="V258">
            <v>0</v>
          </cell>
          <cell r="W258">
            <v>0</v>
          </cell>
          <cell r="X258" t="e">
            <v>#N/A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A259">
            <v>258</v>
          </cell>
          <cell r="B259">
            <v>0</v>
          </cell>
          <cell r="C259" t="str">
            <v xml:space="preserve"> </v>
          </cell>
          <cell r="D259" t="e">
            <v>#N/A</v>
          </cell>
          <cell r="E259" t="e">
            <v>#N/A</v>
          </cell>
          <cell r="F259" t="e">
            <v>#N/A</v>
          </cell>
          <cell r="G259">
            <v>0</v>
          </cell>
          <cell r="H259">
            <v>0</v>
          </cell>
          <cell r="I259" t="str">
            <v xml:space="preserve"> 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176</v>
          </cell>
          <cell r="Q259">
            <v>0</v>
          </cell>
          <cell r="R259">
            <v>0</v>
          </cell>
          <cell r="S259" t="str">
            <v>N</v>
          </cell>
          <cell r="T259">
            <v>0</v>
          </cell>
          <cell r="U259" t="str">
            <v>Ix2</v>
          </cell>
          <cell r="V259">
            <v>0</v>
          </cell>
          <cell r="W259">
            <v>0</v>
          </cell>
          <cell r="X259" t="e">
            <v>#N/A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A260">
            <v>259</v>
          </cell>
          <cell r="B260">
            <v>0</v>
          </cell>
          <cell r="C260" t="str">
            <v xml:space="preserve"> </v>
          </cell>
          <cell r="D260" t="e">
            <v>#N/A</v>
          </cell>
          <cell r="E260" t="e">
            <v>#N/A</v>
          </cell>
          <cell r="F260" t="e">
            <v>#N/A</v>
          </cell>
          <cell r="G260">
            <v>0</v>
          </cell>
          <cell r="H260">
            <v>0</v>
          </cell>
          <cell r="I260" t="str">
            <v xml:space="preserve"> 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176</v>
          </cell>
          <cell r="Q260">
            <v>0</v>
          </cell>
          <cell r="R260">
            <v>0</v>
          </cell>
          <cell r="S260" t="str">
            <v>N</v>
          </cell>
          <cell r="T260">
            <v>0</v>
          </cell>
          <cell r="U260" t="str">
            <v>Ix2</v>
          </cell>
          <cell r="V260">
            <v>0</v>
          </cell>
          <cell r="W260">
            <v>0</v>
          </cell>
          <cell r="X260" t="e">
            <v>#N/A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>
            <v>260</v>
          </cell>
          <cell r="B261">
            <v>0</v>
          </cell>
          <cell r="C261" t="str">
            <v xml:space="preserve"> </v>
          </cell>
          <cell r="D261" t="e">
            <v>#N/A</v>
          </cell>
          <cell r="E261" t="e">
            <v>#N/A</v>
          </cell>
          <cell r="F261" t="e">
            <v>#N/A</v>
          </cell>
          <cell r="G261">
            <v>0</v>
          </cell>
          <cell r="H261">
            <v>0</v>
          </cell>
          <cell r="I261" t="str">
            <v xml:space="preserve"> 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176</v>
          </cell>
          <cell r="Q261">
            <v>0</v>
          </cell>
          <cell r="R261">
            <v>0</v>
          </cell>
          <cell r="S261" t="str">
            <v>N</v>
          </cell>
          <cell r="T261">
            <v>0</v>
          </cell>
          <cell r="U261" t="str">
            <v>Ix2</v>
          </cell>
          <cell r="V261">
            <v>0</v>
          </cell>
          <cell r="W261">
            <v>0</v>
          </cell>
          <cell r="X261" t="e">
            <v>#N/A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A262">
            <v>261</v>
          </cell>
          <cell r="B262">
            <v>0</v>
          </cell>
          <cell r="C262" t="str">
            <v xml:space="preserve"> </v>
          </cell>
          <cell r="D262" t="e">
            <v>#N/A</v>
          </cell>
          <cell r="E262" t="e">
            <v>#N/A</v>
          </cell>
          <cell r="F262" t="e">
            <v>#N/A</v>
          </cell>
          <cell r="G262">
            <v>0</v>
          </cell>
          <cell r="H262">
            <v>0</v>
          </cell>
          <cell r="I262" t="str">
            <v xml:space="preserve"> 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176</v>
          </cell>
          <cell r="Q262">
            <v>0</v>
          </cell>
          <cell r="R262">
            <v>0</v>
          </cell>
          <cell r="S262" t="str">
            <v>N</v>
          </cell>
          <cell r="T262">
            <v>0</v>
          </cell>
          <cell r="U262" t="str">
            <v>Ix2</v>
          </cell>
          <cell r="V262">
            <v>0</v>
          </cell>
          <cell r="W262">
            <v>0</v>
          </cell>
          <cell r="X262" t="e">
            <v>#N/A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A263">
            <v>262</v>
          </cell>
          <cell r="B263">
            <v>0</v>
          </cell>
          <cell r="C263" t="str">
            <v xml:space="preserve"> </v>
          </cell>
          <cell r="D263" t="e">
            <v>#N/A</v>
          </cell>
          <cell r="E263" t="e">
            <v>#N/A</v>
          </cell>
          <cell r="F263" t="e">
            <v>#N/A</v>
          </cell>
          <cell r="G263">
            <v>0</v>
          </cell>
          <cell r="H263">
            <v>0</v>
          </cell>
          <cell r="I263" t="str">
            <v xml:space="preserve"> 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176</v>
          </cell>
          <cell r="Q263">
            <v>0</v>
          </cell>
          <cell r="R263">
            <v>0</v>
          </cell>
          <cell r="S263" t="str">
            <v>N</v>
          </cell>
          <cell r="T263">
            <v>0</v>
          </cell>
          <cell r="U263" t="str">
            <v>Ix2</v>
          </cell>
          <cell r="V263">
            <v>0</v>
          </cell>
          <cell r="W263">
            <v>0</v>
          </cell>
          <cell r="X263" t="e">
            <v>#N/A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A264">
            <v>263</v>
          </cell>
          <cell r="B264">
            <v>0</v>
          </cell>
          <cell r="C264" t="str">
            <v xml:space="preserve"> </v>
          </cell>
          <cell r="D264" t="e">
            <v>#N/A</v>
          </cell>
          <cell r="E264" t="e">
            <v>#N/A</v>
          </cell>
          <cell r="F264" t="e">
            <v>#N/A</v>
          </cell>
          <cell r="G264">
            <v>0</v>
          </cell>
          <cell r="H264">
            <v>0</v>
          </cell>
          <cell r="I264" t="str">
            <v xml:space="preserve"> 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176</v>
          </cell>
          <cell r="Q264">
            <v>0</v>
          </cell>
          <cell r="R264">
            <v>0</v>
          </cell>
          <cell r="S264" t="str">
            <v>N</v>
          </cell>
          <cell r="T264">
            <v>0</v>
          </cell>
          <cell r="U264" t="str">
            <v>Ix2</v>
          </cell>
          <cell r="V264">
            <v>0</v>
          </cell>
          <cell r="W264">
            <v>0</v>
          </cell>
          <cell r="X264" t="e">
            <v>#N/A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>
            <v>264</v>
          </cell>
          <cell r="B265">
            <v>0</v>
          </cell>
          <cell r="C265" t="str">
            <v xml:space="preserve"> </v>
          </cell>
          <cell r="D265" t="e">
            <v>#N/A</v>
          </cell>
          <cell r="E265" t="e">
            <v>#N/A</v>
          </cell>
          <cell r="F265" t="e">
            <v>#N/A</v>
          </cell>
          <cell r="G265">
            <v>0</v>
          </cell>
          <cell r="H265">
            <v>0</v>
          </cell>
          <cell r="I265" t="str">
            <v xml:space="preserve"> 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176</v>
          </cell>
          <cell r="Q265">
            <v>0</v>
          </cell>
          <cell r="R265">
            <v>0</v>
          </cell>
          <cell r="S265" t="str">
            <v>N</v>
          </cell>
          <cell r="T265">
            <v>0</v>
          </cell>
          <cell r="U265" t="str">
            <v>Ix2</v>
          </cell>
          <cell r="V265">
            <v>0</v>
          </cell>
          <cell r="W265">
            <v>0</v>
          </cell>
          <cell r="X265" t="e">
            <v>#N/A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>
            <v>265</v>
          </cell>
          <cell r="B266">
            <v>0</v>
          </cell>
          <cell r="C266" t="str">
            <v xml:space="preserve"> </v>
          </cell>
          <cell r="D266" t="e">
            <v>#N/A</v>
          </cell>
          <cell r="E266" t="e">
            <v>#N/A</v>
          </cell>
          <cell r="F266" t="e">
            <v>#N/A</v>
          </cell>
          <cell r="G266">
            <v>0</v>
          </cell>
          <cell r="H266">
            <v>0</v>
          </cell>
          <cell r="I266" t="str">
            <v xml:space="preserve"> 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176</v>
          </cell>
          <cell r="Q266">
            <v>0</v>
          </cell>
          <cell r="R266">
            <v>0</v>
          </cell>
          <cell r="S266" t="str">
            <v>N</v>
          </cell>
          <cell r="T266">
            <v>0</v>
          </cell>
          <cell r="U266" t="str">
            <v>Ix2</v>
          </cell>
          <cell r="V266">
            <v>0</v>
          </cell>
          <cell r="W266">
            <v>0</v>
          </cell>
          <cell r="X266" t="e">
            <v>#N/A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A267">
            <v>266</v>
          </cell>
          <cell r="B267">
            <v>0</v>
          </cell>
          <cell r="C267" t="str">
            <v xml:space="preserve"> </v>
          </cell>
          <cell r="D267" t="e">
            <v>#N/A</v>
          </cell>
          <cell r="E267" t="e">
            <v>#N/A</v>
          </cell>
          <cell r="F267" t="e">
            <v>#N/A</v>
          </cell>
          <cell r="G267">
            <v>0</v>
          </cell>
          <cell r="H267">
            <v>0</v>
          </cell>
          <cell r="I267" t="str">
            <v xml:space="preserve"> 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176</v>
          </cell>
          <cell r="Q267">
            <v>0</v>
          </cell>
          <cell r="R267">
            <v>0</v>
          </cell>
          <cell r="S267" t="str">
            <v>N</v>
          </cell>
          <cell r="T267">
            <v>0</v>
          </cell>
          <cell r="U267" t="str">
            <v>Ix2</v>
          </cell>
          <cell r="V267">
            <v>0</v>
          </cell>
          <cell r="W267">
            <v>0</v>
          </cell>
          <cell r="X267" t="e">
            <v>#N/A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A268">
            <v>267</v>
          </cell>
          <cell r="B268">
            <v>0</v>
          </cell>
          <cell r="C268" t="str">
            <v xml:space="preserve"> </v>
          </cell>
          <cell r="D268" t="e">
            <v>#N/A</v>
          </cell>
          <cell r="E268" t="e">
            <v>#N/A</v>
          </cell>
          <cell r="F268" t="e">
            <v>#N/A</v>
          </cell>
          <cell r="G268">
            <v>0</v>
          </cell>
          <cell r="H268">
            <v>0</v>
          </cell>
          <cell r="I268" t="str">
            <v xml:space="preserve"> 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176</v>
          </cell>
          <cell r="Q268">
            <v>0</v>
          </cell>
          <cell r="R268">
            <v>0</v>
          </cell>
          <cell r="S268" t="str">
            <v>N</v>
          </cell>
          <cell r="T268">
            <v>0</v>
          </cell>
          <cell r="U268" t="str">
            <v>Ix2</v>
          </cell>
          <cell r="V268">
            <v>0</v>
          </cell>
          <cell r="W268">
            <v>0</v>
          </cell>
          <cell r="X268" t="e">
            <v>#N/A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A269">
            <v>268</v>
          </cell>
          <cell r="B269">
            <v>0</v>
          </cell>
          <cell r="C269" t="str">
            <v xml:space="preserve"> </v>
          </cell>
          <cell r="D269" t="e">
            <v>#N/A</v>
          </cell>
          <cell r="E269" t="e">
            <v>#N/A</v>
          </cell>
          <cell r="F269" t="e">
            <v>#N/A</v>
          </cell>
          <cell r="G269">
            <v>0</v>
          </cell>
          <cell r="H269">
            <v>0</v>
          </cell>
          <cell r="I269" t="str">
            <v xml:space="preserve"> 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176</v>
          </cell>
          <cell r="Q269">
            <v>0</v>
          </cell>
          <cell r="R269">
            <v>0</v>
          </cell>
          <cell r="S269" t="str">
            <v>N</v>
          </cell>
          <cell r="T269">
            <v>0</v>
          </cell>
          <cell r="U269" t="str">
            <v>Ix2</v>
          </cell>
          <cell r="V269">
            <v>0</v>
          </cell>
          <cell r="W269">
            <v>0</v>
          </cell>
          <cell r="X269" t="e">
            <v>#N/A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A270">
            <v>269</v>
          </cell>
          <cell r="B270">
            <v>0</v>
          </cell>
          <cell r="C270" t="str">
            <v xml:space="preserve"> </v>
          </cell>
          <cell r="D270" t="e">
            <v>#N/A</v>
          </cell>
          <cell r="E270" t="e">
            <v>#N/A</v>
          </cell>
          <cell r="F270" t="e">
            <v>#N/A</v>
          </cell>
          <cell r="G270">
            <v>0</v>
          </cell>
          <cell r="H270">
            <v>0</v>
          </cell>
          <cell r="I270" t="str">
            <v xml:space="preserve"> 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176</v>
          </cell>
          <cell r="Q270">
            <v>0</v>
          </cell>
          <cell r="R270">
            <v>0</v>
          </cell>
          <cell r="S270" t="str">
            <v>N</v>
          </cell>
          <cell r="T270">
            <v>0</v>
          </cell>
          <cell r="U270" t="str">
            <v>Ix2</v>
          </cell>
          <cell r="V270">
            <v>0</v>
          </cell>
          <cell r="W270">
            <v>0</v>
          </cell>
          <cell r="X270" t="e">
            <v>#N/A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>
            <v>270</v>
          </cell>
          <cell r="B271">
            <v>0</v>
          </cell>
          <cell r="C271" t="str">
            <v xml:space="preserve"> </v>
          </cell>
          <cell r="D271" t="e">
            <v>#N/A</v>
          </cell>
          <cell r="E271" t="e">
            <v>#N/A</v>
          </cell>
          <cell r="F271" t="e">
            <v>#N/A</v>
          </cell>
          <cell r="G271">
            <v>0</v>
          </cell>
          <cell r="H271">
            <v>0</v>
          </cell>
          <cell r="I271" t="str">
            <v xml:space="preserve"> 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176</v>
          </cell>
          <cell r="Q271">
            <v>0</v>
          </cell>
          <cell r="R271">
            <v>0</v>
          </cell>
          <cell r="S271" t="str">
            <v>N</v>
          </cell>
          <cell r="T271">
            <v>0</v>
          </cell>
          <cell r="U271" t="str">
            <v>Ix2</v>
          </cell>
          <cell r="V271">
            <v>0</v>
          </cell>
          <cell r="W271">
            <v>0</v>
          </cell>
          <cell r="X271" t="e">
            <v>#N/A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2">
          <cell r="A272">
            <v>271</v>
          </cell>
          <cell r="B272">
            <v>0</v>
          </cell>
          <cell r="C272" t="str">
            <v xml:space="preserve"> </v>
          </cell>
          <cell r="D272" t="e">
            <v>#N/A</v>
          </cell>
          <cell r="E272" t="e">
            <v>#N/A</v>
          </cell>
          <cell r="F272" t="e">
            <v>#N/A</v>
          </cell>
          <cell r="G272">
            <v>0</v>
          </cell>
          <cell r="H272">
            <v>0</v>
          </cell>
          <cell r="I272" t="str">
            <v xml:space="preserve"> 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176</v>
          </cell>
          <cell r="Q272">
            <v>0</v>
          </cell>
          <cell r="R272">
            <v>0</v>
          </cell>
          <cell r="S272" t="str">
            <v>N</v>
          </cell>
          <cell r="T272">
            <v>0</v>
          </cell>
          <cell r="U272" t="str">
            <v>Ix2</v>
          </cell>
          <cell r="V272">
            <v>0</v>
          </cell>
          <cell r="W272">
            <v>0</v>
          </cell>
          <cell r="X272" t="e">
            <v>#N/A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</row>
        <row r="273">
          <cell r="A273">
            <v>272</v>
          </cell>
          <cell r="B273">
            <v>0</v>
          </cell>
          <cell r="C273" t="str">
            <v xml:space="preserve"> </v>
          </cell>
          <cell r="D273" t="e">
            <v>#N/A</v>
          </cell>
          <cell r="E273" t="e">
            <v>#N/A</v>
          </cell>
          <cell r="F273" t="e">
            <v>#N/A</v>
          </cell>
          <cell r="G273">
            <v>0</v>
          </cell>
          <cell r="H273">
            <v>0</v>
          </cell>
          <cell r="I273" t="str">
            <v xml:space="preserve"> 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176</v>
          </cell>
          <cell r="Q273">
            <v>0</v>
          </cell>
          <cell r="R273">
            <v>0</v>
          </cell>
          <cell r="S273" t="str">
            <v>N</v>
          </cell>
          <cell r="T273">
            <v>0</v>
          </cell>
          <cell r="U273" t="str">
            <v>Ix2</v>
          </cell>
          <cell r="V273">
            <v>0</v>
          </cell>
          <cell r="W273">
            <v>0</v>
          </cell>
          <cell r="X273" t="e">
            <v>#N/A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A274">
            <v>273</v>
          </cell>
          <cell r="B274">
            <v>0</v>
          </cell>
          <cell r="C274" t="str">
            <v xml:space="preserve"> </v>
          </cell>
          <cell r="D274" t="e">
            <v>#N/A</v>
          </cell>
          <cell r="E274" t="e">
            <v>#N/A</v>
          </cell>
          <cell r="F274" t="e">
            <v>#N/A</v>
          </cell>
          <cell r="G274">
            <v>0</v>
          </cell>
          <cell r="H274">
            <v>0</v>
          </cell>
          <cell r="I274" t="str">
            <v xml:space="preserve"> 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176</v>
          </cell>
          <cell r="Q274">
            <v>0</v>
          </cell>
          <cell r="R274">
            <v>0</v>
          </cell>
          <cell r="S274" t="str">
            <v>N</v>
          </cell>
          <cell r="T274">
            <v>0</v>
          </cell>
          <cell r="U274" t="str">
            <v>Ix2</v>
          </cell>
          <cell r="V274">
            <v>0</v>
          </cell>
          <cell r="W274">
            <v>0</v>
          </cell>
          <cell r="X274" t="e">
            <v>#N/A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</row>
        <row r="275">
          <cell r="A275">
            <v>274</v>
          </cell>
          <cell r="B275">
            <v>0</v>
          </cell>
          <cell r="C275" t="str">
            <v xml:space="preserve"> </v>
          </cell>
          <cell r="D275" t="e">
            <v>#N/A</v>
          </cell>
          <cell r="E275" t="e">
            <v>#N/A</v>
          </cell>
          <cell r="F275" t="e">
            <v>#N/A</v>
          </cell>
          <cell r="G275">
            <v>0</v>
          </cell>
          <cell r="H275">
            <v>0</v>
          </cell>
          <cell r="I275" t="str">
            <v xml:space="preserve"> 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176</v>
          </cell>
          <cell r="Q275">
            <v>0</v>
          </cell>
          <cell r="R275">
            <v>0</v>
          </cell>
          <cell r="S275" t="str">
            <v>N</v>
          </cell>
          <cell r="T275">
            <v>0</v>
          </cell>
          <cell r="U275" t="str">
            <v>Ix2</v>
          </cell>
          <cell r="V275">
            <v>0</v>
          </cell>
          <cell r="W275">
            <v>0</v>
          </cell>
          <cell r="X275" t="e">
            <v>#N/A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</row>
        <row r="276">
          <cell r="A276">
            <v>275</v>
          </cell>
          <cell r="B276">
            <v>0</v>
          </cell>
          <cell r="C276" t="str">
            <v xml:space="preserve"> </v>
          </cell>
          <cell r="D276" t="e">
            <v>#N/A</v>
          </cell>
          <cell r="E276" t="e">
            <v>#N/A</v>
          </cell>
          <cell r="F276" t="e">
            <v>#N/A</v>
          </cell>
          <cell r="G276">
            <v>0</v>
          </cell>
          <cell r="H276">
            <v>0</v>
          </cell>
          <cell r="I276" t="str">
            <v xml:space="preserve"> 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176</v>
          </cell>
          <cell r="Q276">
            <v>0</v>
          </cell>
          <cell r="R276">
            <v>0</v>
          </cell>
          <cell r="S276" t="str">
            <v>N</v>
          </cell>
          <cell r="T276">
            <v>0</v>
          </cell>
          <cell r="U276" t="str">
            <v>Ix2</v>
          </cell>
          <cell r="V276">
            <v>0</v>
          </cell>
          <cell r="W276">
            <v>0</v>
          </cell>
          <cell r="X276" t="e">
            <v>#N/A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</row>
        <row r="277">
          <cell r="A277">
            <v>276</v>
          </cell>
          <cell r="B277">
            <v>0</v>
          </cell>
          <cell r="C277" t="str">
            <v xml:space="preserve"> </v>
          </cell>
          <cell r="D277" t="e">
            <v>#N/A</v>
          </cell>
          <cell r="E277" t="e">
            <v>#N/A</v>
          </cell>
          <cell r="F277" t="e">
            <v>#N/A</v>
          </cell>
          <cell r="G277">
            <v>0</v>
          </cell>
          <cell r="H277">
            <v>0</v>
          </cell>
          <cell r="I277" t="str">
            <v xml:space="preserve"> 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176</v>
          </cell>
          <cell r="Q277">
            <v>0</v>
          </cell>
          <cell r="R277">
            <v>0</v>
          </cell>
          <cell r="S277" t="str">
            <v>N</v>
          </cell>
          <cell r="T277">
            <v>0</v>
          </cell>
          <cell r="U277" t="str">
            <v>Ix2</v>
          </cell>
          <cell r="V277">
            <v>0</v>
          </cell>
          <cell r="W277">
            <v>0</v>
          </cell>
          <cell r="X277" t="e">
            <v>#N/A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A278">
            <v>277</v>
          </cell>
          <cell r="B278">
            <v>0</v>
          </cell>
          <cell r="C278" t="str">
            <v xml:space="preserve"> </v>
          </cell>
          <cell r="D278" t="e">
            <v>#N/A</v>
          </cell>
          <cell r="E278" t="e">
            <v>#N/A</v>
          </cell>
          <cell r="F278" t="e">
            <v>#N/A</v>
          </cell>
          <cell r="G278">
            <v>0</v>
          </cell>
          <cell r="H278">
            <v>0</v>
          </cell>
          <cell r="I278" t="str">
            <v xml:space="preserve"> 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176</v>
          </cell>
          <cell r="Q278">
            <v>0</v>
          </cell>
          <cell r="R278">
            <v>0</v>
          </cell>
          <cell r="S278" t="str">
            <v>N</v>
          </cell>
          <cell r="T278">
            <v>0</v>
          </cell>
          <cell r="U278" t="str">
            <v>Ix2</v>
          </cell>
          <cell r="V278">
            <v>0</v>
          </cell>
          <cell r="W278">
            <v>0</v>
          </cell>
          <cell r="X278" t="e">
            <v>#N/A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>
            <v>278</v>
          </cell>
          <cell r="B279">
            <v>0</v>
          </cell>
          <cell r="C279" t="str">
            <v xml:space="preserve"> </v>
          </cell>
          <cell r="D279" t="e">
            <v>#N/A</v>
          </cell>
          <cell r="E279" t="e">
            <v>#N/A</v>
          </cell>
          <cell r="F279" t="e">
            <v>#N/A</v>
          </cell>
          <cell r="G279">
            <v>0</v>
          </cell>
          <cell r="H279">
            <v>0</v>
          </cell>
          <cell r="I279" t="str">
            <v xml:space="preserve"> 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176</v>
          </cell>
          <cell r="Q279">
            <v>0</v>
          </cell>
          <cell r="R279">
            <v>0</v>
          </cell>
          <cell r="S279" t="str">
            <v>N</v>
          </cell>
          <cell r="T279">
            <v>0</v>
          </cell>
          <cell r="U279" t="str">
            <v>Ix2</v>
          </cell>
          <cell r="V279">
            <v>0</v>
          </cell>
          <cell r="W279">
            <v>0</v>
          </cell>
          <cell r="X279" t="e">
            <v>#N/A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A280">
            <v>279</v>
          </cell>
          <cell r="B280">
            <v>0</v>
          </cell>
          <cell r="C280" t="str">
            <v xml:space="preserve"> </v>
          </cell>
          <cell r="D280" t="e">
            <v>#N/A</v>
          </cell>
          <cell r="E280" t="e">
            <v>#N/A</v>
          </cell>
          <cell r="F280" t="e">
            <v>#N/A</v>
          </cell>
          <cell r="G280">
            <v>0</v>
          </cell>
          <cell r="H280">
            <v>0</v>
          </cell>
          <cell r="I280" t="str">
            <v xml:space="preserve"> 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176</v>
          </cell>
          <cell r="Q280">
            <v>0</v>
          </cell>
          <cell r="R280">
            <v>0</v>
          </cell>
          <cell r="S280" t="str">
            <v>N</v>
          </cell>
          <cell r="T280">
            <v>0</v>
          </cell>
          <cell r="U280" t="str">
            <v>Ix2</v>
          </cell>
          <cell r="V280">
            <v>0</v>
          </cell>
          <cell r="W280">
            <v>0</v>
          </cell>
          <cell r="X280" t="e">
            <v>#N/A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A281">
            <v>280</v>
          </cell>
          <cell r="B281">
            <v>0</v>
          </cell>
          <cell r="C281" t="str">
            <v xml:space="preserve"> </v>
          </cell>
          <cell r="D281" t="e">
            <v>#N/A</v>
          </cell>
          <cell r="E281" t="e">
            <v>#N/A</v>
          </cell>
          <cell r="F281" t="e">
            <v>#N/A</v>
          </cell>
          <cell r="G281">
            <v>0</v>
          </cell>
          <cell r="H281">
            <v>0</v>
          </cell>
          <cell r="I281" t="str">
            <v xml:space="preserve"> 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176</v>
          </cell>
          <cell r="Q281">
            <v>0</v>
          </cell>
          <cell r="R281">
            <v>0</v>
          </cell>
          <cell r="S281" t="str">
            <v>N</v>
          </cell>
          <cell r="T281">
            <v>0</v>
          </cell>
          <cell r="U281" t="str">
            <v>Ix2</v>
          </cell>
          <cell r="V281">
            <v>0</v>
          </cell>
          <cell r="W281">
            <v>0</v>
          </cell>
          <cell r="X281" t="e">
            <v>#N/A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A282">
            <v>281</v>
          </cell>
          <cell r="B282">
            <v>0</v>
          </cell>
          <cell r="C282" t="str">
            <v xml:space="preserve"> </v>
          </cell>
          <cell r="D282" t="e">
            <v>#N/A</v>
          </cell>
          <cell r="E282" t="e">
            <v>#N/A</v>
          </cell>
          <cell r="F282" t="e">
            <v>#N/A</v>
          </cell>
          <cell r="G282">
            <v>0</v>
          </cell>
          <cell r="H282">
            <v>0</v>
          </cell>
          <cell r="I282" t="str">
            <v xml:space="preserve"> 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176</v>
          </cell>
          <cell r="Q282">
            <v>0</v>
          </cell>
          <cell r="R282">
            <v>0</v>
          </cell>
          <cell r="S282" t="str">
            <v>N</v>
          </cell>
          <cell r="T282">
            <v>0</v>
          </cell>
          <cell r="U282" t="str">
            <v>Ix2</v>
          </cell>
          <cell r="V282">
            <v>0</v>
          </cell>
          <cell r="W282">
            <v>0</v>
          </cell>
          <cell r="X282" t="e">
            <v>#N/A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>
            <v>282</v>
          </cell>
          <cell r="B283">
            <v>0</v>
          </cell>
          <cell r="C283" t="str">
            <v xml:space="preserve"> </v>
          </cell>
          <cell r="D283" t="e">
            <v>#N/A</v>
          </cell>
          <cell r="E283" t="e">
            <v>#N/A</v>
          </cell>
          <cell r="F283" t="e">
            <v>#N/A</v>
          </cell>
          <cell r="G283">
            <v>0</v>
          </cell>
          <cell r="H283">
            <v>0</v>
          </cell>
          <cell r="I283" t="str">
            <v xml:space="preserve"> 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176</v>
          </cell>
          <cell r="Q283">
            <v>0</v>
          </cell>
          <cell r="R283">
            <v>0</v>
          </cell>
          <cell r="S283" t="str">
            <v>N</v>
          </cell>
          <cell r="T283">
            <v>0</v>
          </cell>
          <cell r="U283" t="str">
            <v>Ix2</v>
          </cell>
          <cell r="V283">
            <v>0</v>
          </cell>
          <cell r="W283">
            <v>0</v>
          </cell>
          <cell r="X283" t="e">
            <v>#N/A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>
            <v>283</v>
          </cell>
          <cell r="B284">
            <v>0</v>
          </cell>
          <cell r="C284" t="str">
            <v xml:space="preserve"> </v>
          </cell>
          <cell r="D284" t="e">
            <v>#N/A</v>
          </cell>
          <cell r="E284" t="e">
            <v>#N/A</v>
          </cell>
          <cell r="F284" t="e">
            <v>#N/A</v>
          </cell>
          <cell r="G284">
            <v>0</v>
          </cell>
          <cell r="H284">
            <v>0</v>
          </cell>
          <cell r="I284" t="str">
            <v xml:space="preserve"> 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176</v>
          </cell>
          <cell r="Q284">
            <v>0</v>
          </cell>
          <cell r="R284">
            <v>0</v>
          </cell>
          <cell r="S284" t="str">
            <v>N</v>
          </cell>
          <cell r="T284">
            <v>0</v>
          </cell>
          <cell r="U284" t="str">
            <v>Ix2</v>
          </cell>
          <cell r="V284">
            <v>0</v>
          </cell>
          <cell r="W284">
            <v>0</v>
          </cell>
          <cell r="X284" t="e">
            <v>#N/A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A285">
            <v>284</v>
          </cell>
          <cell r="B285">
            <v>0</v>
          </cell>
          <cell r="C285" t="str">
            <v xml:space="preserve"> </v>
          </cell>
          <cell r="D285" t="e">
            <v>#N/A</v>
          </cell>
          <cell r="E285" t="e">
            <v>#N/A</v>
          </cell>
          <cell r="F285" t="e">
            <v>#N/A</v>
          </cell>
          <cell r="G285">
            <v>0</v>
          </cell>
          <cell r="H285">
            <v>0</v>
          </cell>
          <cell r="I285" t="str">
            <v xml:space="preserve"> 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176</v>
          </cell>
          <cell r="Q285">
            <v>0</v>
          </cell>
          <cell r="R285">
            <v>0</v>
          </cell>
          <cell r="S285" t="str">
            <v>N</v>
          </cell>
          <cell r="T285">
            <v>0</v>
          </cell>
          <cell r="U285" t="str">
            <v>Ix2</v>
          </cell>
          <cell r="V285">
            <v>0</v>
          </cell>
          <cell r="W285">
            <v>0</v>
          </cell>
          <cell r="X285" t="e">
            <v>#N/A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A286">
            <v>285</v>
          </cell>
          <cell r="B286">
            <v>0</v>
          </cell>
          <cell r="C286" t="str">
            <v xml:space="preserve"> </v>
          </cell>
          <cell r="D286" t="e">
            <v>#N/A</v>
          </cell>
          <cell r="E286" t="e">
            <v>#N/A</v>
          </cell>
          <cell r="F286" t="e">
            <v>#N/A</v>
          </cell>
          <cell r="G286">
            <v>0</v>
          </cell>
          <cell r="H286">
            <v>0</v>
          </cell>
          <cell r="I286" t="str">
            <v xml:space="preserve"> 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176</v>
          </cell>
          <cell r="Q286">
            <v>0</v>
          </cell>
          <cell r="R286">
            <v>0</v>
          </cell>
          <cell r="S286" t="str">
            <v>N</v>
          </cell>
          <cell r="T286">
            <v>0</v>
          </cell>
          <cell r="U286" t="str">
            <v>Ix2</v>
          </cell>
          <cell r="V286">
            <v>0</v>
          </cell>
          <cell r="W286">
            <v>0</v>
          </cell>
          <cell r="X286" t="e">
            <v>#N/A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A287">
            <v>286</v>
          </cell>
          <cell r="B287">
            <v>0</v>
          </cell>
          <cell r="C287" t="str">
            <v xml:space="preserve"> </v>
          </cell>
          <cell r="D287" t="e">
            <v>#N/A</v>
          </cell>
          <cell r="E287" t="e">
            <v>#N/A</v>
          </cell>
          <cell r="F287" t="e">
            <v>#N/A</v>
          </cell>
          <cell r="G287">
            <v>0</v>
          </cell>
          <cell r="H287">
            <v>0</v>
          </cell>
          <cell r="I287" t="str">
            <v xml:space="preserve"> 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176</v>
          </cell>
          <cell r="Q287">
            <v>0</v>
          </cell>
          <cell r="R287">
            <v>0</v>
          </cell>
          <cell r="S287" t="str">
            <v>N</v>
          </cell>
          <cell r="T287">
            <v>0</v>
          </cell>
          <cell r="U287" t="str">
            <v>Ix2</v>
          </cell>
          <cell r="V287">
            <v>0</v>
          </cell>
          <cell r="W287">
            <v>0</v>
          </cell>
          <cell r="X287" t="e">
            <v>#N/A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A288">
            <v>287</v>
          </cell>
          <cell r="B288">
            <v>0</v>
          </cell>
          <cell r="C288" t="str">
            <v xml:space="preserve"> </v>
          </cell>
          <cell r="D288" t="e">
            <v>#N/A</v>
          </cell>
          <cell r="E288" t="e">
            <v>#N/A</v>
          </cell>
          <cell r="F288" t="e">
            <v>#N/A</v>
          </cell>
          <cell r="G288">
            <v>0</v>
          </cell>
          <cell r="H288">
            <v>0</v>
          </cell>
          <cell r="I288" t="str">
            <v xml:space="preserve"> 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176</v>
          </cell>
          <cell r="Q288">
            <v>0</v>
          </cell>
          <cell r="R288">
            <v>0</v>
          </cell>
          <cell r="S288" t="str">
            <v>N</v>
          </cell>
          <cell r="T288">
            <v>0</v>
          </cell>
          <cell r="U288" t="str">
            <v>Ix2</v>
          </cell>
          <cell r="V288">
            <v>0</v>
          </cell>
          <cell r="W288">
            <v>0</v>
          </cell>
          <cell r="X288" t="e">
            <v>#N/A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A289">
            <v>288</v>
          </cell>
          <cell r="B289">
            <v>0</v>
          </cell>
          <cell r="C289" t="str">
            <v xml:space="preserve"> </v>
          </cell>
          <cell r="D289" t="e">
            <v>#N/A</v>
          </cell>
          <cell r="E289" t="e">
            <v>#N/A</v>
          </cell>
          <cell r="F289" t="e">
            <v>#N/A</v>
          </cell>
          <cell r="G289">
            <v>0</v>
          </cell>
          <cell r="H289">
            <v>0</v>
          </cell>
          <cell r="I289" t="str">
            <v xml:space="preserve"> 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176</v>
          </cell>
          <cell r="Q289">
            <v>0</v>
          </cell>
          <cell r="R289">
            <v>0</v>
          </cell>
          <cell r="S289" t="str">
            <v>N</v>
          </cell>
          <cell r="T289">
            <v>0</v>
          </cell>
          <cell r="U289" t="str">
            <v>Ix2</v>
          </cell>
          <cell r="V289">
            <v>0</v>
          </cell>
          <cell r="W289">
            <v>0</v>
          </cell>
          <cell r="X289" t="e">
            <v>#N/A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A290">
            <v>289</v>
          </cell>
          <cell r="B290">
            <v>0</v>
          </cell>
          <cell r="C290" t="str">
            <v xml:space="preserve"> </v>
          </cell>
          <cell r="D290" t="e">
            <v>#N/A</v>
          </cell>
          <cell r="E290" t="e">
            <v>#N/A</v>
          </cell>
          <cell r="F290" t="e">
            <v>#N/A</v>
          </cell>
          <cell r="G290">
            <v>0</v>
          </cell>
          <cell r="H290">
            <v>0</v>
          </cell>
          <cell r="I290" t="str">
            <v xml:space="preserve"> 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176</v>
          </cell>
          <cell r="Q290">
            <v>0</v>
          </cell>
          <cell r="R290">
            <v>0</v>
          </cell>
          <cell r="S290" t="str">
            <v>N</v>
          </cell>
          <cell r="T290">
            <v>0</v>
          </cell>
          <cell r="U290" t="str">
            <v>Ix2</v>
          </cell>
          <cell r="V290">
            <v>0</v>
          </cell>
          <cell r="W290">
            <v>0</v>
          </cell>
          <cell r="X290" t="e">
            <v>#N/A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A291">
            <v>290</v>
          </cell>
          <cell r="B291">
            <v>0</v>
          </cell>
          <cell r="C291" t="str">
            <v xml:space="preserve"> </v>
          </cell>
          <cell r="D291" t="e">
            <v>#N/A</v>
          </cell>
          <cell r="E291" t="e">
            <v>#N/A</v>
          </cell>
          <cell r="F291" t="e">
            <v>#N/A</v>
          </cell>
          <cell r="G291">
            <v>0</v>
          </cell>
          <cell r="H291">
            <v>0</v>
          </cell>
          <cell r="I291" t="str">
            <v xml:space="preserve"> 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176</v>
          </cell>
          <cell r="Q291">
            <v>0</v>
          </cell>
          <cell r="R291">
            <v>0</v>
          </cell>
          <cell r="S291" t="str">
            <v>N</v>
          </cell>
          <cell r="T291">
            <v>0</v>
          </cell>
          <cell r="U291" t="str">
            <v>Ix2</v>
          </cell>
          <cell r="V291">
            <v>0</v>
          </cell>
          <cell r="W291">
            <v>0</v>
          </cell>
          <cell r="X291" t="e">
            <v>#N/A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>
            <v>291</v>
          </cell>
          <cell r="B292">
            <v>0</v>
          </cell>
          <cell r="C292" t="str">
            <v xml:space="preserve"> </v>
          </cell>
          <cell r="D292" t="e">
            <v>#N/A</v>
          </cell>
          <cell r="E292" t="e">
            <v>#N/A</v>
          </cell>
          <cell r="F292" t="e">
            <v>#N/A</v>
          </cell>
          <cell r="G292">
            <v>0</v>
          </cell>
          <cell r="H292">
            <v>0</v>
          </cell>
          <cell r="I292" t="str">
            <v xml:space="preserve"> 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176</v>
          </cell>
          <cell r="Q292">
            <v>0</v>
          </cell>
          <cell r="R292">
            <v>0</v>
          </cell>
          <cell r="S292" t="str">
            <v>N</v>
          </cell>
          <cell r="T292">
            <v>0</v>
          </cell>
          <cell r="U292" t="str">
            <v>Ix2</v>
          </cell>
          <cell r="V292">
            <v>0</v>
          </cell>
          <cell r="W292">
            <v>0</v>
          </cell>
          <cell r="X292" t="e">
            <v>#N/A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A293">
            <v>292</v>
          </cell>
          <cell r="B293">
            <v>0</v>
          </cell>
          <cell r="C293" t="str">
            <v xml:space="preserve"> </v>
          </cell>
          <cell r="D293" t="e">
            <v>#N/A</v>
          </cell>
          <cell r="E293" t="e">
            <v>#N/A</v>
          </cell>
          <cell r="F293" t="e">
            <v>#N/A</v>
          </cell>
          <cell r="G293">
            <v>0</v>
          </cell>
          <cell r="H293">
            <v>0</v>
          </cell>
          <cell r="I293" t="str">
            <v xml:space="preserve"> 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176</v>
          </cell>
          <cell r="Q293">
            <v>0</v>
          </cell>
          <cell r="R293">
            <v>0</v>
          </cell>
          <cell r="S293" t="str">
            <v>N</v>
          </cell>
          <cell r="T293">
            <v>0</v>
          </cell>
          <cell r="U293" t="str">
            <v>Ix2</v>
          </cell>
          <cell r="V293">
            <v>0</v>
          </cell>
          <cell r="W293">
            <v>0</v>
          </cell>
          <cell r="X293" t="e">
            <v>#N/A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A294">
            <v>293</v>
          </cell>
          <cell r="B294">
            <v>0</v>
          </cell>
          <cell r="C294" t="str">
            <v xml:space="preserve"> </v>
          </cell>
          <cell r="D294" t="e">
            <v>#N/A</v>
          </cell>
          <cell r="E294" t="e">
            <v>#N/A</v>
          </cell>
          <cell r="F294" t="e">
            <v>#N/A</v>
          </cell>
          <cell r="G294">
            <v>0</v>
          </cell>
          <cell r="H294">
            <v>0</v>
          </cell>
          <cell r="I294" t="str">
            <v xml:space="preserve"> 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176</v>
          </cell>
          <cell r="Q294">
            <v>0</v>
          </cell>
          <cell r="R294">
            <v>0</v>
          </cell>
          <cell r="S294" t="str">
            <v>N</v>
          </cell>
          <cell r="T294">
            <v>0</v>
          </cell>
          <cell r="U294" t="str">
            <v>Ix2</v>
          </cell>
          <cell r="V294">
            <v>0</v>
          </cell>
          <cell r="W294">
            <v>0</v>
          </cell>
          <cell r="X294" t="e">
            <v>#N/A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</row>
        <row r="295">
          <cell r="A295">
            <v>294</v>
          </cell>
          <cell r="B295">
            <v>0</v>
          </cell>
          <cell r="C295" t="str">
            <v xml:space="preserve"> </v>
          </cell>
          <cell r="D295" t="e">
            <v>#N/A</v>
          </cell>
          <cell r="E295" t="e">
            <v>#N/A</v>
          </cell>
          <cell r="F295" t="e">
            <v>#N/A</v>
          </cell>
          <cell r="G295">
            <v>0</v>
          </cell>
          <cell r="H295">
            <v>0</v>
          </cell>
          <cell r="I295" t="str">
            <v xml:space="preserve"> 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176</v>
          </cell>
          <cell r="Q295">
            <v>0</v>
          </cell>
          <cell r="R295">
            <v>0</v>
          </cell>
          <cell r="S295" t="str">
            <v>N</v>
          </cell>
          <cell r="T295">
            <v>0</v>
          </cell>
          <cell r="U295" t="str">
            <v>Ix2</v>
          </cell>
          <cell r="V295">
            <v>0</v>
          </cell>
          <cell r="W295">
            <v>0</v>
          </cell>
          <cell r="X295" t="e">
            <v>#N/A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A296">
            <v>295</v>
          </cell>
          <cell r="B296">
            <v>0</v>
          </cell>
          <cell r="C296" t="str">
            <v xml:space="preserve"> </v>
          </cell>
          <cell r="D296" t="e">
            <v>#N/A</v>
          </cell>
          <cell r="E296" t="e">
            <v>#N/A</v>
          </cell>
          <cell r="F296" t="e">
            <v>#N/A</v>
          </cell>
          <cell r="G296">
            <v>0</v>
          </cell>
          <cell r="H296">
            <v>0</v>
          </cell>
          <cell r="I296" t="str">
            <v xml:space="preserve"> 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176</v>
          </cell>
          <cell r="Q296">
            <v>0</v>
          </cell>
          <cell r="R296">
            <v>0</v>
          </cell>
          <cell r="S296" t="str">
            <v>N</v>
          </cell>
          <cell r="T296">
            <v>0</v>
          </cell>
          <cell r="U296" t="str">
            <v>Ix2</v>
          </cell>
          <cell r="V296">
            <v>0</v>
          </cell>
          <cell r="W296">
            <v>0</v>
          </cell>
          <cell r="X296" t="e">
            <v>#N/A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>
            <v>296</v>
          </cell>
          <cell r="B297">
            <v>0</v>
          </cell>
          <cell r="C297" t="str">
            <v xml:space="preserve"> </v>
          </cell>
          <cell r="D297" t="e">
            <v>#N/A</v>
          </cell>
          <cell r="E297" t="e">
            <v>#N/A</v>
          </cell>
          <cell r="F297" t="e">
            <v>#N/A</v>
          </cell>
          <cell r="G297">
            <v>0</v>
          </cell>
          <cell r="H297">
            <v>0</v>
          </cell>
          <cell r="I297" t="str">
            <v xml:space="preserve"> 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176</v>
          </cell>
          <cell r="Q297">
            <v>0</v>
          </cell>
          <cell r="R297">
            <v>0</v>
          </cell>
          <cell r="S297" t="str">
            <v>N</v>
          </cell>
          <cell r="T297">
            <v>0</v>
          </cell>
          <cell r="U297" t="str">
            <v>Ix2</v>
          </cell>
          <cell r="V297">
            <v>0</v>
          </cell>
          <cell r="W297">
            <v>0</v>
          </cell>
          <cell r="X297" t="e">
            <v>#N/A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A298">
            <v>297</v>
          </cell>
          <cell r="B298">
            <v>0</v>
          </cell>
          <cell r="C298" t="str">
            <v xml:space="preserve"> </v>
          </cell>
          <cell r="D298" t="e">
            <v>#N/A</v>
          </cell>
          <cell r="E298" t="e">
            <v>#N/A</v>
          </cell>
          <cell r="F298" t="e">
            <v>#N/A</v>
          </cell>
          <cell r="G298">
            <v>0</v>
          </cell>
          <cell r="H298">
            <v>0</v>
          </cell>
          <cell r="I298" t="str">
            <v xml:space="preserve"> 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176</v>
          </cell>
          <cell r="Q298">
            <v>0</v>
          </cell>
          <cell r="R298">
            <v>0</v>
          </cell>
          <cell r="S298" t="str">
            <v>N</v>
          </cell>
          <cell r="T298">
            <v>0</v>
          </cell>
          <cell r="U298" t="str">
            <v>Ix2</v>
          </cell>
          <cell r="V298">
            <v>0</v>
          </cell>
          <cell r="W298">
            <v>0</v>
          </cell>
          <cell r="X298" t="e">
            <v>#N/A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>
            <v>298</v>
          </cell>
          <cell r="B299">
            <v>0</v>
          </cell>
          <cell r="C299" t="str">
            <v xml:space="preserve"> </v>
          </cell>
          <cell r="D299" t="e">
            <v>#N/A</v>
          </cell>
          <cell r="E299" t="e">
            <v>#N/A</v>
          </cell>
          <cell r="F299" t="e">
            <v>#N/A</v>
          </cell>
          <cell r="G299">
            <v>0</v>
          </cell>
          <cell r="H299">
            <v>0</v>
          </cell>
          <cell r="I299" t="str">
            <v xml:space="preserve"> 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176</v>
          </cell>
          <cell r="Q299">
            <v>0</v>
          </cell>
          <cell r="R299">
            <v>0</v>
          </cell>
          <cell r="S299" t="str">
            <v>N</v>
          </cell>
          <cell r="T299">
            <v>0</v>
          </cell>
          <cell r="U299" t="str">
            <v>Ix2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>
            <v>299</v>
          </cell>
          <cell r="B300">
            <v>0</v>
          </cell>
          <cell r="C300" t="str">
            <v xml:space="preserve"> </v>
          </cell>
          <cell r="D300" t="e">
            <v>#N/A</v>
          </cell>
          <cell r="E300" t="e">
            <v>#N/A</v>
          </cell>
          <cell r="F300" t="e">
            <v>#N/A</v>
          </cell>
          <cell r="G300">
            <v>0</v>
          </cell>
          <cell r="H300">
            <v>0</v>
          </cell>
          <cell r="I300" t="str">
            <v xml:space="preserve"> 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176</v>
          </cell>
          <cell r="Q300">
            <v>0</v>
          </cell>
          <cell r="R300">
            <v>0</v>
          </cell>
          <cell r="S300" t="str">
            <v>N</v>
          </cell>
          <cell r="T300">
            <v>0</v>
          </cell>
          <cell r="U300" t="str">
            <v>Ix2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</row>
        <row r="301">
          <cell r="A301">
            <v>300</v>
          </cell>
          <cell r="B301">
            <v>0</v>
          </cell>
          <cell r="C301" t="str">
            <v xml:space="preserve"> </v>
          </cell>
          <cell r="D301" t="e">
            <v>#N/A</v>
          </cell>
          <cell r="E301" t="e">
            <v>#N/A</v>
          </cell>
          <cell r="F301" t="e">
            <v>#N/A</v>
          </cell>
          <cell r="G301">
            <v>0</v>
          </cell>
          <cell r="H301">
            <v>0</v>
          </cell>
          <cell r="I301" t="str">
            <v xml:space="preserve"> 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176</v>
          </cell>
          <cell r="Q301">
            <v>0</v>
          </cell>
          <cell r="R301">
            <v>0</v>
          </cell>
          <cell r="S301" t="str">
            <v>N</v>
          </cell>
          <cell r="T301">
            <v>0</v>
          </cell>
          <cell r="U301" t="str">
            <v>Ix2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 t="str">
            <v xml:space="preserve"> </v>
          </cell>
          <cell r="D302" t="e">
            <v>#N/A</v>
          </cell>
          <cell r="E302" t="e">
            <v>#N/A</v>
          </cell>
          <cell r="F302" t="e">
            <v>#N/A</v>
          </cell>
          <cell r="G302">
            <v>0</v>
          </cell>
          <cell r="H302">
            <v>0</v>
          </cell>
          <cell r="I302" t="str">
            <v xml:space="preserve"> 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176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 t="str">
            <v>Ix2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usz1"/>
      <sheetName val="Arkusz2"/>
      <sheetName val="Arkusz3"/>
    </sheetNames>
    <definedNames>
      <definedName name="słownie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I2" t="str">
            <v>A.ringwelska@interia.pl</v>
          </cell>
          <cell r="J2">
            <v>86011711809</v>
          </cell>
          <cell r="K2" t="str">
            <v>Szkolna 4/4</v>
          </cell>
          <cell r="Y2" t="str">
            <v>13-300 Nowe Miasto Lubawskie</v>
          </cell>
        </row>
        <row r="3">
          <cell r="I3" t="str">
            <v>sylwia.warszawa@poczta.onet.pl</v>
          </cell>
          <cell r="J3">
            <v>86072205480</v>
          </cell>
          <cell r="K3" t="str">
            <v>Jagiellończyka 16A/20</v>
          </cell>
          <cell r="Y3" t="str">
            <v>14-200 Iława</v>
          </cell>
        </row>
        <row r="4">
          <cell r="I4" t="str">
            <v>joannapiendak@gmail.com</v>
          </cell>
          <cell r="J4">
            <v>85031011287</v>
          </cell>
          <cell r="K4" t="str">
            <v>Jagiellońska 34/3</v>
          </cell>
          <cell r="Y4" t="str">
            <v xml:space="preserve">13-300 Nowe Miasto Lubawskie </v>
          </cell>
        </row>
        <row r="5">
          <cell r="I5" t="str">
            <v>sylwia.warszawa@poczta.onet.pl</v>
          </cell>
          <cell r="J5">
            <v>86072205480</v>
          </cell>
          <cell r="K5" t="str">
            <v>Jagiellończyka 16A/20</v>
          </cell>
          <cell r="Y5" t="str">
            <v>14-200 Iława</v>
          </cell>
        </row>
        <row r="6">
          <cell r="I6" t="str">
            <v>barbara.pawlowska1999@gmail.com</v>
          </cell>
          <cell r="J6">
            <v>99121300405</v>
          </cell>
          <cell r="K6" t="str">
            <v>Porzeczkowa 3</v>
          </cell>
          <cell r="Y6" t="str">
            <v xml:space="preserve">14-200 Iława </v>
          </cell>
        </row>
        <row r="7">
          <cell r="I7" t="str">
            <v>wojrosz@gmail.com</v>
          </cell>
          <cell r="J7">
            <v>88021500974</v>
          </cell>
          <cell r="K7" t="str">
            <v>Ogrodowa 9</v>
          </cell>
          <cell r="Y7" t="str">
            <v>14-200 Iława</v>
          </cell>
        </row>
        <row r="8">
          <cell r="I8" t="str">
            <v>jowitaswiecka72@gmail.com</v>
          </cell>
          <cell r="J8">
            <v>72020909049</v>
          </cell>
          <cell r="K8" t="str">
            <v>Smolki 4/11</v>
          </cell>
          <cell r="Y8" t="str">
            <v>14-200 Iława</v>
          </cell>
        </row>
        <row r="9">
          <cell r="I9" t="str">
            <v>MAXIFAFIK@WP.PL</v>
          </cell>
          <cell r="J9">
            <v>80022308568</v>
          </cell>
          <cell r="K9" t="str">
            <v>DĄBROWSKIEGO 8/25</v>
          </cell>
          <cell r="Y9" t="str">
            <v>14-200 IŁAWA</v>
          </cell>
        </row>
        <row r="10">
          <cell r="I10" t="str">
            <v>kasiaijaca@wp.pl</v>
          </cell>
          <cell r="J10">
            <v>79020512428</v>
          </cell>
          <cell r="K10" t="str">
            <v>Gdańska 5b/20</v>
          </cell>
          <cell r="Y10" t="str">
            <v>14-200  Iława</v>
          </cell>
        </row>
        <row r="11">
          <cell r="I11" t="str">
            <v>did0@wp.pl</v>
          </cell>
          <cell r="J11">
            <v>79063009992</v>
          </cell>
          <cell r="K11" t="str">
            <v>Szkolna 15</v>
          </cell>
          <cell r="Y11" t="str">
            <v>14-202 Ząbrowo</v>
          </cell>
        </row>
        <row r="12">
          <cell r="I12" t="str">
            <v>ania.natka@op.pl</v>
          </cell>
          <cell r="J12">
            <v>76082709085</v>
          </cell>
          <cell r="K12" t="str">
            <v>Wrzosowa 18</v>
          </cell>
          <cell r="Y12" t="str">
            <v>14-200 Wikielec</v>
          </cell>
        </row>
        <row r="13">
          <cell r="I13" t="str">
            <v>emiliapiecuch706@gmail.com</v>
          </cell>
          <cell r="J13">
            <v>79022707408</v>
          </cell>
          <cell r="K13" t="str">
            <v>Jana Matejki 3e/2</v>
          </cell>
          <cell r="Y13" t="str">
            <v>14-200  Iława</v>
          </cell>
        </row>
        <row r="14">
          <cell r="I14" t="str">
            <v>klimik.m@wp.pl</v>
          </cell>
          <cell r="J14">
            <v>84122808335</v>
          </cell>
          <cell r="K14" t="str">
            <v>Piastowska 6/38</v>
          </cell>
          <cell r="Y14" t="str">
            <v>14-200 Iława</v>
          </cell>
        </row>
        <row r="15">
          <cell r="I15" t="str">
            <v>mielnik_j@o2.pl</v>
          </cell>
          <cell r="J15">
            <v>80110711900</v>
          </cell>
          <cell r="K15" t="str">
            <v xml:space="preserve">Kamionki 17i </v>
          </cell>
          <cell r="Y15" t="str">
            <v>13-300 Nowe Miasto Lubawskie</v>
          </cell>
        </row>
        <row r="16">
          <cell r="I16" t="str">
            <v>kamila.o@wp.pl</v>
          </cell>
          <cell r="J16">
            <v>83071709281</v>
          </cell>
          <cell r="K16" t="str">
            <v>Kopernika 12</v>
          </cell>
          <cell r="Y16" t="str">
            <v>13-306 Kurzętnik</v>
          </cell>
        </row>
        <row r="17">
          <cell r="I17" t="str">
            <v>Ania.natka@op.pl</v>
          </cell>
          <cell r="J17">
            <v>76082709085</v>
          </cell>
          <cell r="K17" t="str">
            <v>Wrzosowa 18</v>
          </cell>
          <cell r="Y17" t="str">
            <v xml:space="preserve">14-200 Wikielec </v>
          </cell>
        </row>
        <row r="18">
          <cell r="I18" t="str">
            <v>kasiaijaca@wp.pl</v>
          </cell>
          <cell r="J18">
            <v>79020512428</v>
          </cell>
          <cell r="K18" t="str">
            <v>Gdańska 5b/20</v>
          </cell>
          <cell r="Y18" t="str">
            <v>14-200 Iława</v>
          </cell>
        </row>
        <row r="19">
          <cell r="I19" t="str">
            <v>magblasz@interia.pl</v>
          </cell>
          <cell r="J19">
            <v>77110610582</v>
          </cell>
          <cell r="K19" t="str">
            <v>Kościuszki 35A/28</v>
          </cell>
          <cell r="Y19" t="str">
            <v>14-200 Iława</v>
          </cell>
        </row>
        <row r="20">
          <cell r="I20" t="str">
            <v>klimikjoanna@gmail.com</v>
          </cell>
          <cell r="J20">
            <v>82080614928</v>
          </cell>
          <cell r="K20" t="str">
            <v>Kościuszki 5A/F13</v>
          </cell>
          <cell r="Y20" t="str">
            <v>14-200 Iława</v>
          </cell>
        </row>
        <row r="21">
          <cell r="I21" t="str">
            <v>klimikjoanna@gmail.com</v>
          </cell>
          <cell r="J21">
            <v>82080614928</v>
          </cell>
          <cell r="K21" t="str">
            <v>Kościuszki 5A/F13</v>
          </cell>
          <cell r="Y21" t="str">
            <v>14-200 Iława</v>
          </cell>
        </row>
        <row r="22">
          <cell r="I22" t="str">
            <v>beatakuhnwald@gmail.com</v>
          </cell>
          <cell r="J22">
            <v>81020212666</v>
          </cell>
          <cell r="K22" t="str">
            <v>Samplawa 57</v>
          </cell>
          <cell r="Y22" t="str">
            <v xml:space="preserve">14-260 Lubawa </v>
          </cell>
        </row>
        <row r="23">
          <cell r="I23" t="str">
            <v>jastrzebskabarbara09@gmail.com</v>
          </cell>
          <cell r="J23">
            <v>71082412108</v>
          </cell>
          <cell r="K23" t="str">
            <v xml:space="preserve">Mroczenko 37 </v>
          </cell>
          <cell r="Y23" t="str">
            <v xml:space="preserve">13-324 Mroczenko </v>
          </cell>
        </row>
        <row r="24">
          <cell r="I24" t="str">
            <v>monikakazanice12@wp.pl</v>
          </cell>
          <cell r="J24">
            <v>98070903789</v>
          </cell>
          <cell r="K24" t="str">
            <v xml:space="preserve">Plac zamkowy 1 </v>
          </cell>
          <cell r="Y24" t="str">
            <v>14-260 Lubawa</v>
          </cell>
        </row>
        <row r="25">
          <cell r="I25" t="str">
            <v>sylwiacwiklinska4@wp.pl</v>
          </cell>
          <cell r="J25">
            <v>91092700424</v>
          </cell>
          <cell r="K25" t="str">
            <v>Sampława 75</v>
          </cell>
          <cell r="Y25" t="str">
            <v>14-260 Lubawa</v>
          </cell>
        </row>
        <row r="26">
          <cell r="I26" t="str">
            <v>milena.gogolew@wp.pl</v>
          </cell>
          <cell r="J26">
            <v>84121806822</v>
          </cell>
          <cell r="K26" t="str">
            <v>Barlickiego 18</v>
          </cell>
          <cell r="Y26" t="str">
            <v xml:space="preserve">14-200  Iława </v>
          </cell>
        </row>
        <row r="27">
          <cell r="I27" t="str">
            <v>annaosowska10@wp.pl</v>
          </cell>
          <cell r="J27">
            <v>84010510023</v>
          </cell>
          <cell r="K27" t="str">
            <v>Szkolna 3/2</v>
          </cell>
          <cell r="Y27" t="str">
            <v xml:space="preserve">14-241  Ząbrowo </v>
          </cell>
        </row>
        <row r="28">
          <cell r="I28" t="str">
            <v>jkanicz@wp.pl</v>
          </cell>
          <cell r="J28">
            <v>76031807826</v>
          </cell>
          <cell r="K28" t="str">
            <v>Górna 1</v>
          </cell>
          <cell r="Y28" t="str">
            <v>14-200 Iława</v>
          </cell>
        </row>
        <row r="29">
          <cell r="I29" t="str">
            <v>monzak15@wp.pl</v>
          </cell>
          <cell r="J29">
            <v>82042009007</v>
          </cell>
          <cell r="K29" t="str">
            <v>Piaskowa 10</v>
          </cell>
          <cell r="Y29" t="str">
            <v>13-300 Mszanowo</v>
          </cell>
        </row>
        <row r="30">
          <cell r="I30" t="str">
            <v>kasiaijaca@wp.pl</v>
          </cell>
          <cell r="J30">
            <v>79020512428</v>
          </cell>
          <cell r="K30" t="str">
            <v>Gdańska 5b/20</v>
          </cell>
          <cell r="Y30" t="str">
            <v>14-200 Iława</v>
          </cell>
        </row>
        <row r="31">
          <cell r="I31" t="str">
            <v>ewaowier@o2.pl</v>
          </cell>
          <cell r="J31">
            <v>74082807383</v>
          </cell>
          <cell r="K31" t="str">
            <v xml:space="preserve">Kościuszki </v>
          </cell>
          <cell r="Y31" t="str">
            <v xml:space="preserve">14-200  Iława </v>
          </cell>
        </row>
        <row r="32">
          <cell r="I32" t="str">
            <v>ewaowier@o2.pl</v>
          </cell>
          <cell r="J32">
            <v>74082807383</v>
          </cell>
          <cell r="K32" t="str">
            <v xml:space="preserve">Kościuszki </v>
          </cell>
          <cell r="Y32" t="str">
            <v xml:space="preserve">14-200 Iława </v>
          </cell>
        </row>
        <row r="33">
          <cell r="I33" t="str">
            <v>julksonwasiak@gmail.com</v>
          </cell>
          <cell r="J33">
            <v>7261102207</v>
          </cell>
          <cell r="K33" t="str">
            <v>Stradomno 20A</v>
          </cell>
          <cell r="Y33" t="str">
            <v>14-200 Stradomno</v>
          </cell>
        </row>
        <row r="34">
          <cell r="I34" t="str">
            <v>sylwiacwiklinska4@wp.pl</v>
          </cell>
          <cell r="J34">
            <v>91092700424</v>
          </cell>
          <cell r="K34" t="str">
            <v>Sampława 75</v>
          </cell>
          <cell r="Y34" t="str">
            <v>14-260 Lubawa</v>
          </cell>
        </row>
        <row r="35">
          <cell r="I35" t="str">
            <v>Maksymilian5802@gmail.com</v>
          </cell>
          <cell r="J35">
            <v>7220701557</v>
          </cell>
          <cell r="K35" t="str">
            <v>Kazimierza Odnowiciela 8</v>
          </cell>
          <cell r="Y35" t="str">
            <v>14-200 Iława</v>
          </cell>
        </row>
        <row r="36">
          <cell r="I36" t="str">
            <v>edysia324@wp.pl</v>
          </cell>
          <cell r="J36">
            <v>73112907983</v>
          </cell>
          <cell r="K36" t="str">
            <v>Krokusowa 3</v>
          </cell>
          <cell r="Y36" t="str">
            <v>14-200 Wikielec/Iława</v>
          </cell>
        </row>
        <row r="37">
          <cell r="I37" t="str">
            <v>marko23237@wp.pl</v>
          </cell>
          <cell r="J37">
            <v>84110213059</v>
          </cell>
          <cell r="K37" t="str">
            <v>Kolorowa 17</v>
          </cell>
          <cell r="Y37" t="str">
            <v xml:space="preserve">13-300 Pacółtowo </v>
          </cell>
        </row>
        <row r="38">
          <cell r="I38" t="str">
            <v>kozlowska.kamila.maria@gmail.com</v>
          </cell>
          <cell r="J38">
            <v>85071114304</v>
          </cell>
          <cell r="K38" t="str">
            <v>Siostry Antoniny Schneider 1/26</v>
          </cell>
          <cell r="Y38" t="str">
            <v>14-260 Lubawa</v>
          </cell>
        </row>
        <row r="39">
          <cell r="I39" t="str">
            <v>smoczynskam1@gmail.com</v>
          </cell>
          <cell r="J39">
            <v>90042811027</v>
          </cell>
          <cell r="K39" t="str">
            <v>Skarszewo 56/1</v>
          </cell>
          <cell r="Y39" t="str">
            <v xml:space="preserve">14-200 Iława </v>
          </cell>
        </row>
        <row r="40">
          <cell r="I40"/>
          <cell r="J40">
            <v>85010611646</v>
          </cell>
          <cell r="K40" t="str">
            <v>narutowicza 56f</v>
          </cell>
          <cell r="Y40" t="str">
            <v xml:space="preserve">13-300 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19T08:38:05.0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9C23-0CB2-4267-A363-639E8A5DA63A}">
  <sheetPr codeName="Arkusz20">
    <pageSetUpPr fitToPage="1"/>
  </sheetPr>
  <dimension ref="A1:AL70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I24" sqref="I24:I32"/>
    </sheetView>
  </sheetViews>
  <sheetFormatPr defaultColWidth="9.109375" defaultRowHeight="13.8" x14ac:dyDescent="0.3"/>
  <cols>
    <col min="1" max="1" width="10.88671875" style="160" bestFit="1" customWidth="1"/>
    <col min="2" max="14" width="4.6640625" style="160" customWidth="1"/>
    <col min="15" max="15" width="4.6640625" style="197" customWidth="1"/>
    <col min="16" max="19" width="4.6640625" style="160" customWidth="1"/>
    <col min="20" max="21" width="5.6640625" style="160" customWidth="1"/>
    <col min="22" max="23" width="5.6640625" style="160" hidden="1" customWidth="1"/>
    <col min="24" max="24" width="3.44140625" style="160" bestFit="1" customWidth="1"/>
    <col min="25" max="25" width="4.33203125" style="160" customWidth="1"/>
    <col min="26" max="26" width="4.44140625" style="160" customWidth="1"/>
    <col min="27" max="27" width="18.44140625" style="160" bestFit="1" customWidth="1"/>
    <col min="28" max="28" width="8.6640625" style="161" customWidth="1"/>
    <col min="29" max="31" width="8.6640625" style="160" customWidth="1"/>
    <col min="32" max="34" width="9.109375" style="160" customWidth="1"/>
    <col min="35" max="35" width="9.109375" style="160"/>
    <col min="36" max="36" width="12.88671875" style="160" customWidth="1"/>
    <col min="37" max="37" width="9.44140625" style="160" bestFit="1" customWidth="1"/>
    <col min="38" max="16384" width="9.109375" style="160"/>
  </cols>
  <sheetData>
    <row r="1" spans="1:38" x14ac:dyDescent="0.3">
      <c r="A1" s="156" t="s">
        <v>175</v>
      </c>
      <c r="B1" s="272" t="s">
        <v>176</v>
      </c>
      <c r="C1" s="272"/>
      <c r="D1" s="273" t="s">
        <v>177</v>
      </c>
      <c r="E1" s="274"/>
      <c r="F1" s="273" t="s">
        <v>178</v>
      </c>
      <c r="G1" s="273"/>
      <c r="H1" s="273" t="s">
        <v>179</v>
      </c>
      <c r="I1" s="273"/>
      <c r="J1" s="273" t="s">
        <v>180</v>
      </c>
      <c r="K1" s="274"/>
      <c r="L1" s="274" t="s">
        <v>181</v>
      </c>
      <c r="M1" s="275"/>
      <c r="N1" s="275" t="s">
        <v>182</v>
      </c>
      <c r="O1" s="273"/>
      <c r="P1" s="273" t="s">
        <v>183</v>
      </c>
      <c r="Q1" s="273"/>
      <c r="R1" s="273" t="s">
        <v>184</v>
      </c>
      <c r="S1" s="273"/>
      <c r="T1" s="273" t="s">
        <v>185</v>
      </c>
      <c r="U1" s="273"/>
      <c r="V1" s="273" t="s">
        <v>186</v>
      </c>
      <c r="W1" s="273"/>
    </row>
    <row r="2" spans="1:38" ht="12.75" customHeight="1" x14ac:dyDescent="0.3">
      <c r="A2" s="162" t="s">
        <v>190</v>
      </c>
      <c r="B2" s="157">
        <v>1</v>
      </c>
      <c r="H2" s="157">
        <v>1</v>
      </c>
      <c r="I2" s="163" t="s">
        <v>188</v>
      </c>
      <c r="O2" s="160"/>
      <c r="V2" s="157">
        <v>1</v>
      </c>
      <c r="W2" s="163"/>
      <c r="Y2" s="160" t="s">
        <v>189</v>
      </c>
    </row>
    <row r="3" spans="1:38" ht="12.75" customHeight="1" x14ac:dyDescent="0.3">
      <c r="A3" s="162" t="s">
        <v>191</v>
      </c>
      <c r="B3" s="157">
        <f t="shared" ref="B3:B31" si="0">B2+1</f>
        <v>2</v>
      </c>
      <c r="H3" s="167">
        <f t="shared" ref="H3:H32" si="1">H2+1</f>
        <v>2</v>
      </c>
      <c r="I3" s="163" t="s">
        <v>188</v>
      </c>
      <c r="O3" s="160"/>
      <c r="T3" s="157">
        <v>1</v>
      </c>
      <c r="U3" s="164" t="s">
        <v>188</v>
      </c>
      <c r="V3" s="168">
        <f t="shared" ref="V3:V31" si="2">V2+1</f>
        <v>2</v>
      </c>
      <c r="W3" s="163"/>
    </row>
    <row r="4" spans="1:38" ht="12.75" customHeight="1" x14ac:dyDescent="0.3">
      <c r="A4" s="162" t="s">
        <v>193</v>
      </c>
      <c r="B4" s="157">
        <f t="shared" si="0"/>
        <v>3</v>
      </c>
      <c r="D4" s="166">
        <v>1</v>
      </c>
      <c r="E4" s="163" t="s">
        <v>188</v>
      </c>
      <c r="H4" s="167">
        <f t="shared" si="1"/>
        <v>3</v>
      </c>
      <c r="I4" s="163" t="s">
        <v>188</v>
      </c>
      <c r="O4" s="160"/>
      <c r="P4" s="157">
        <v>1</v>
      </c>
      <c r="Q4" s="163" t="s">
        <v>188</v>
      </c>
      <c r="T4" s="168">
        <f t="shared" ref="T4:T30" si="3">T3+1</f>
        <v>2</v>
      </c>
      <c r="U4" s="164" t="s">
        <v>188</v>
      </c>
      <c r="V4" s="168">
        <f t="shared" si="2"/>
        <v>3</v>
      </c>
      <c r="W4" s="163"/>
      <c r="Y4" s="169" t="s">
        <v>188</v>
      </c>
      <c r="AA4" s="160" t="s">
        <v>192</v>
      </c>
      <c r="AB4" s="271" t="s">
        <v>192</v>
      </c>
      <c r="AC4" s="271"/>
    </row>
    <row r="5" spans="1:38" ht="12.75" customHeight="1" x14ac:dyDescent="0.3">
      <c r="A5" s="173" t="s">
        <v>198</v>
      </c>
      <c r="B5" s="174">
        <f t="shared" si="0"/>
        <v>4</v>
      </c>
      <c r="D5" s="175">
        <f t="shared" ref="D5:D34" si="4">D4+1</f>
        <v>2</v>
      </c>
      <c r="E5" s="176" t="s">
        <v>188</v>
      </c>
      <c r="H5" s="174">
        <f t="shared" si="1"/>
        <v>4</v>
      </c>
      <c r="I5" s="176" t="s">
        <v>188</v>
      </c>
      <c r="J5" s="171">
        <v>1</v>
      </c>
      <c r="K5" s="171" t="s">
        <v>194</v>
      </c>
      <c r="L5" s="165"/>
      <c r="O5" s="160"/>
      <c r="P5" s="174">
        <f t="shared" ref="P5:P7" si="5">P4+1</f>
        <v>2</v>
      </c>
      <c r="Q5" s="176" t="s">
        <v>188</v>
      </c>
      <c r="T5" s="174">
        <f t="shared" si="3"/>
        <v>3</v>
      </c>
      <c r="U5" s="164" t="s">
        <v>188</v>
      </c>
      <c r="V5" s="174">
        <f t="shared" si="2"/>
        <v>4</v>
      </c>
      <c r="W5" s="174"/>
      <c r="AB5" s="170" t="s">
        <v>197</v>
      </c>
      <c r="AC5" s="172">
        <v>45915</v>
      </c>
    </row>
    <row r="6" spans="1:38" ht="12.75" customHeight="1" x14ac:dyDescent="0.3">
      <c r="A6" s="173" t="s">
        <v>203</v>
      </c>
      <c r="B6" s="174">
        <f t="shared" si="0"/>
        <v>5</v>
      </c>
      <c r="D6" s="175">
        <f t="shared" si="4"/>
        <v>3</v>
      </c>
      <c r="E6" s="176"/>
      <c r="H6" s="174">
        <f t="shared" si="1"/>
        <v>5</v>
      </c>
      <c r="I6" s="176"/>
      <c r="J6" s="174">
        <f t="shared" ref="J6:L35" si="6">J5+1</f>
        <v>2</v>
      </c>
      <c r="K6" s="174"/>
      <c r="L6" s="165"/>
      <c r="O6" s="160"/>
      <c r="P6" s="174">
        <f t="shared" si="5"/>
        <v>3</v>
      </c>
      <c r="Q6" s="176"/>
      <c r="R6" s="177">
        <v>1</v>
      </c>
      <c r="S6" s="281" t="s">
        <v>199</v>
      </c>
      <c r="T6" s="174">
        <f t="shared" si="3"/>
        <v>4</v>
      </c>
      <c r="U6" s="174"/>
      <c r="V6" s="174">
        <f t="shared" si="2"/>
        <v>5</v>
      </c>
      <c r="W6" s="174"/>
      <c r="Y6" s="171" t="s">
        <v>200</v>
      </c>
      <c r="AA6" s="160" t="s">
        <v>201</v>
      </c>
      <c r="AB6" s="170" t="s">
        <v>202</v>
      </c>
      <c r="AC6" s="172">
        <v>46146</v>
      </c>
    </row>
    <row r="7" spans="1:38" x14ac:dyDescent="0.3">
      <c r="A7" s="178" t="s">
        <v>205</v>
      </c>
      <c r="B7" s="179">
        <f t="shared" si="0"/>
        <v>6</v>
      </c>
      <c r="C7" s="179"/>
      <c r="D7" s="180">
        <f t="shared" si="4"/>
        <v>4</v>
      </c>
      <c r="E7" s="179"/>
      <c r="F7" s="171">
        <v>1</v>
      </c>
      <c r="G7" s="171" t="s">
        <v>200</v>
      </c>
      <c r="H7" s="179">
        <f t="shared" si="1"/>
        <v>6</v>
      </c>
      <c r="I7" s="179"/>
      <c r="J7" s="179">
        <f t="shared" si="6"/>
        <v>3</v>
      </c>
      <c r="K7" s="179"/>
      <c r="L7" s="165"/>
      <c r="O7" s="160"/>
      <c r="P7" s="179">
        <f t="shared" si="5"/>
        <v>4</v>
      </c>
      <c r="Q7" s="179"/>
      <c r="R7" s="179">
        <f t="shared" ref="R7:R36" si="7">R6+1</f>
        <v>2</v>
      </c>
      <c r="S7" s="282"/>
      <c r="T7" s="179">
        <f t="shared" si="3"/>
        <v>5</v>
      </c>
      <c r="U7" s="179"/>
      <c r="V7" s="179">
        <f t="shared" si="2"/>
        <v>6</v>
      </c>
      <c r="W7" s="179"/>
      <c r="AB7" s="170" t="s">
        <v>204</v>
      </c>
      <c r="AC7" s="172">
        <v>46173</v>
      </c>
      <c r="AL7" s="160">
        <v>1</v>
      </c>
    </row>
    <row r="8" spans="1:38" x14ac:dyDescent="0.3">
      <c r="A8" s="162" t="s">
        <v>187</v>
      </c>
      <c r="B8" s="157">
        <f t="shared" si="0"/>
        <v>7</v>
      </c>
      <c r="C8" s="163" t="s">
        <v>188</v>
      </c>
      <c r="D8" s="166">
        <f t="shared" si="4"/>
        <v>5</v>
      </c>
      <c r="E8" s="163" t="s">
        <v>188</v>
      </c>
      <c r="F8" s="167">
        <f t="shared" ref="F8:F36" si="8">F7+1</f>
        <v>2</v>
      </c>
      <c r="G8" s="163" t="s">
        <v>188</v>
      </c>
      <c r="H8" s="157">
        <f t="shared" si="1"/>
        <v>7</v>
      </c>
      <c r="I8" s="163" t="s">
        <v>188</v>
      </c>
      <c r="J8" s="167">
        <f t="shared" si="6"/>
        <v>4</v>
      </c>
      <c r="K8" s="288"/>
      <c r="L8" s="167">
        <v>1</v>
      </c>
      <c r="M8" s="163" t="s">
        <v>188</v>
      </c>
      <c r="N8" s="167">
        <v>1</v>
      </c>
      <c r="O8" s="163" t="s">
        <v>188</v>
      </c>
      <c r="P8" s="167">
        <f t="shared" ref="P8:P33" si="9">P7+1</f>
        <v>5</v>
      </c>
      <c r="Q8" s="163" t="s">
        <v>188</v>
      </c>
      <c r="R8" s="177">
        <f t="shared" si="7"/>
        <v>3</v>
      </c>
      <c r="S8" s="283"/>
      <c r="T8" s="159">
        <f t="shared" si="3"/>
        <v>6</v>
      </c>
      <c r="U8" s="164" t="s">
        <v>188</v>
      </c>
      <c r="V8" s="159">
        <f t="shared" si="2"/>
        <v>7</v>
      </c>
      <c r="W8" s="163"/>
      <c r="Y8" s="183" t="s">
        <v>206</v>
      </c>
      <c r="AA8" s="160" t="s">
        <v>207</v>
      </c>
    </row>
    <row r="9" spans="1:38" x14ac:dyDescent="0.3">
      <c r="A9" s="184" t="s">
        <v>190</v>
      </c>
      <c r="B9" s="168">
        <f t="shared" si="0"/>
        <v>8</v>
      </c>
      <c r="C9" s="163" t="s">
        <v>188</v>
      </c>
      <c r="D9" s="166">
        <f t="shared" si="4"/>
        <v>6</v>
      </c>
      <c r="E9" s="163" t="s">
        <v>188</v>
      </c>
      <c r="F9" s="167">
        <f t="shared" si="8"/>
        <v>3</v>
      </c>
      <c r="G9" s="163" t="s">
        <v>188</v>
      </c>
      <c r="H9" s="157">
        <f t="shared" si="1"/>
        <v>8</v>
      </c>
      <c r="I9" s="163" t="s">
        <v>188</v>
      </c>
      <c r="J9" s="167">
        <f t="shared" si="6"/>
        <v>5</v>
      </c>
      <c r="K9" s="289"/>
      <c r="L9" s="167">
        <f t="shared" ref="L9:L34" si="10">L8+1</f>
        <v>2</v>
      </c>
      <c r="M9" s="163" t="s">
        <v>188</v>
      </c>
      <c r="N9" s="167">
        <f t="shared" ref="N9:N38" si="11">N8+1</f>
        <v>2</v>
      </c>
      <c r="O9" s="163" t="s">
        <v>188</v>
      </c>
      <c r="P9" s="167">
        <f t="shared" si="9"/>
        <v>6</v>
      </c>
      <c r="Q9" s="163" t="s">
        <v>188</v>
      </c>
      <c r="R9" s="167">
        <f t="shared" si="7"/>
        <v>4</v>
      </c>
      <c r="S9" s="163" t="s">
        <v>188</v>
      </c>
      <c r="T9" s="157">
        <f t="shared" si="3"/>
        <v>7</v>
      </c>
      <c r="U9" s="164" t="s">
        <v>188</v>
      </c>
      <c r="V9" s="157">
        <f t="shared" si="2"/>
        <v>8</v>
      </c>
      <c r="W9" s="163"/>
    </row>
    <row r="10" spans="1:38" x14ac:dyDescent="0.3">
      <c r="A10" s="162" t="s">
        <v>191</v>
      </c>
      <c r="B10" s="157">
        <f t="shared" si="0"/>
        <v>9</v>
      </c>
      <c r="C10" s="163" t="s">
        <v>188</v>
      </c>
      <c r="D10" s="166">
        <f t="shared" si="4"/>
        <v>7</v>
      </c>
      <c r="E10" s="163" t="s">
        <v>188</v>
      </c>
      <c r="F10" s="167">
        <f t="shared" si="8"/>
        <v>4</v>
      </c>
      <c r="G10" s="163" t="s">
        <v>188</v>
      </c>
      <c r="H10" s="167">
        <f t="shared" si="1"/>
        <v>9</v>
      </c>
      <c r="I10" s="163" t="s">
        <v>188</v>
      </c>
      <c r="J10" s="171">
        <f t="shared" si="6"/>
        <v>6</v>
      </c>
      <c r="K10" s="171" t="s">
        <v>208</v>
      </c>
      <c r="L10" s="167">
        <f t="shared" si="10"/>
        <v>3</v>
      </c>
      <c r="M10" s="163" t="s">
        <v>188</v>
      </c>
      <c r="N10" s="167">
        <f t="shared" si="11"/>
        <v>3</v>
      </c>
      <c r="O10" s="163" t="s">
        <v>188</v>
      </c>
      <c r="P10" s="167">
        <f t="shared" si="9"/>
        <v>7</v>
      </c>
      <c r="Q10" s="163" t="s">
        <v>188</v>
      </c>
      <c r="R10" s="167">
        <f t="shared" si="7"/>
        <v>5</v>
      </c>
      <c r="S10" s="163" t="s">
        <v>188</v>
      </c>
      <c r="T10" s="168">
        <f t="shared" si="3"/>
        <v>8</v>
      </c>
      <c r="U10" s="164" t="s">
        <v>188</v>
      </c>
      <c r="V10" s="168">
        <f t="shared" si="2"/>
        <v>9</v>
      </c>
      <c r="W10" s="163"/>
      <c r="Y10" s="171" t="s">
        <v>194</v>
      </c>
      <c r="AA10" s="160" t="s">
        <v>209</v>
      </c>
    </row>
    <row r="11" spans="1:38" x14ac:dyDescent="0.3">
      <c r="A11" s="162" t="s">
        <v>193</v>
      </c>
      <c r="B11" s="157">
        <f t="shared" si="0"/>
        <v>10</v>
      </c>
      <c r="C11" s="163" t="s">
        <v>188</v>
      </c>
      <c r="D11" s="167">
        <f t="shared" si="4"/>
        <v>8</v>
      </c>
      <c r="E11" s="163" t="s">
        <v>188</v>
      </c>
      <c r="F11" s="167">
        <f t="shared" si="8"/>
        <v>5</v>
      </c>
      <c r="G11" s="163" t="s">
        <v>188</v>
      </c>
      <c r="H11" s="167">
        <f t="shared" si="1"/>
        <v>10</v>
      </c>
      <c r="I11" s="163" t="s">
        <v>188</v>
      </c>
      <c r="J11" s="167">
        <f t="shared" si="6"/>
        <v>7</v>
      </c>
      <c r="K11" s="163" t="s">
        <v>188</v>
      </c>
      <c r="L11" s="167">
        <f t="shared" si="10"/>
        <v>4</v>
      </c>
      <c r="M11" s="163" t="s">
        <v>188</v>
      </c>
      <c r="N11" s="167">
        <f t="shared" si="11"/>
        <v>4</v>
      </c>
      <c r="O11" s="163" t="s">
        <v>188</v>
      </c>
      <c r="P11" s="167">
        <f t="shared" si="9"/>
        <v>8</v>
      </c>
      <c r="Q11" s="163" t="s">
        <v>188</v>
      </c>
      <c r="R11" s="167">
        <f t="shared" si="7"/>
        <v>6</v>
      </c>
      <c r="S11" s="163" t="s">
        <v>188</v>
      </c>
      <c r="T11" s="168">
        <f t="shared" si="3"/>
        <v>9</v>
      </c>
      <c r="U11" s="164" t="s">
        <v>188</v>
      </c>
      <c r="V11" s="168">
        <f t="shared" si="2"/>
        <v>10</v>
      </c>
      <c r="W11" s="163"/>
    </row>
    <row r="12" spans="1:38" x14ac:dyDescent="0.3">
      <c r="A12" s="173" t="s">
        <v>198</v>
      </c>
      <c r="B12" s="174">
        <f t="shared" si="0"/>
        <v>11</v>
      </c>
      <c r="C12" s="176" t="s">
        <v>188</v>
      </c>
      <c r="D12" s="174">
        <f t="shared" si="4"/>
        <v>9</v>
      </c>
      <c r="E12" s="176" t="s">
        <v>188</v>
      </c>
      <c r="F12" s="174">
        <f t="shared" si="8"/>
        <v>6</v>
      </c>
      <c r="G12" s="176" t="s">
        <v>188</v>
      </c>
      <c r="H12" s="174">
        <f t="shared" si="1"/>
        <v>11</v>
      </c>
      <c r="I12" s="176" t="s">
        <v>188</v>
      </c>
      <c r="J12" s="174">
        <f t="shared" si="6"/>
        <v>8</v>
      </c>
      <c r="K12" s="176" t="s">
        <v>188</v>
      </c>
      <c r="L12" s="174">
        <f t="shared" si="10"/>
        <v>5</v>
      </c>
      <c r="M12" s="176" t="s">
        <v>188</v>
      </c>
      <c r="N12" s="174">
        <f t="shared" si="11"/>
        <v>5</v>
      </c>
      <c r="O12" s="176" t="s">
        <v>188</v>
      </c>
      <c r="P12" s="174">
        <f t="shared" si="9"/>
        <v>9</v>
      </c>
      <c r="Q12" s="176" t="s">
        <v>188</v>
      </c>
      <c r="R12" s="174">
        <f t="shared" si="7"/>
        <v>7</v>
      </c>
      <c r="S12" s="176" t="s">
        <v>188</v>
      </c>
      <c r="T12" s="174">
        <f t="shared" si="3"/>
        <v>10</v>
      </c>
      <c r="U12" s="164" t="s">
        <v>188</v>
      </c>
      <c r="V12" s="174">
        <f t="shared" si="2"/>
        <v>11</v>
      </c>
      <c r="W12" s="174"/>
      <c r="Y12" s="171" t="s">
        <v>208</v>
      </c>
      <c r="AA12" s="160" t="s">
        <v>210</v>
      </c>
    </row>
    <row r="13" spans="1:38" ht="12.75" customHeight="1" x14ac:dyDescent="0.3">
      <c r="A13" s="173" t="s">
        <v>203</v>
      </c>
      <c r="B13" s="174">
        <f t="shared" si="0"/>
        <v>12</v>
      </c>
      <c r="C13" s="174"/>
      <c r="D13" s="174">
        <f t="shared" si="4"/>
        <v>10</v>
      </c>
      <c r="E13" s="176"/>
      <c r="F13" s="174">
        <f t="shared" si="8"/>
        <v>7</v>
      </c>
      <c r="G13" s="176"/>
      <c r="H13" s="174">
        <f t="shared" si="1"/>
        <v>12</v>
      </c>
      <c r="I13" s="176"/>
      <c r="J13" s="174">
        <f t="shared" si="6"/>
        <v>9</v>
      </c>
      <c r="K13" s="174"/>
      <c r="L13" s="174">
        <f t="shared" si="10"/>
        <v>6</v>
      </c>
      <c r="M13" s="176"/>
      <c r="N13" s="174">
        <f t="shared" si="11"/>
        <v>6</v>
      </c>
      <c r="O13" s="176"/>
      <c r="P13" s="174">
        <f t="shared" si="9"/>
        <v>10</v>
      </c>
      <c r="Q13" s="176"/>
      <c r="R13" s="174">
        <f t="shared" si="7"/>
        <v>8</v>
      </c>
      <c r="S13" s="176"/>
      <c r="T13" s="174">
        <f t="shared" si="3"/>
        <v>11</v>
      </c>
      <c r="U13" s="174"/>
      <c r="V13" s="174">
        <f t="shared" si="2"/>
        <v>12</v>
      </c>
      <c r="W13" s="174"/>
      <c r="Y13" s="161"/>
      <c r="Z13" s="161"/>
      <c r="AA13" s="161"/>
    </row>
    <row r="14" spans="1:38" ht="12.75" customHeight="1" x14ac:dyDescent="0.3">
      <c r="A14" s="178" t="s">
        <v>205</v>
      </c>
      <c r="B14" s="179">
        <f t="shared" si="0"/>
        <v>13</v>
      </c>
      <c r="C14" s="179"/>
      <c r="D14" s="179">
        <f t="shared" si="4"/>
        <v>11</v>
      </c>
      <c r="E14" s="179"/>
      <c r="F14" s="179">
        <f t="shared" si="8"/>
        <v>8</v>
      </c>
      <c r="G14" s="181"/>
      <c r="H14" s="179">
        <f t="shared" si="1"/>
        <v>13</v>
      </c>
      <c r="I14" s="179"/>
      <c r="J14" s="179">
        <f t="shared" si="6"/>
        <v>10</v>
      </c>
      <c r="K14" s="179"/>
      <c r="L14" s="179">
        <f t="shared" si="10"/>
        <v>7</v>
      </c>
      <c r="M14" s="182"/>
      <c r="N14" s="179">
        <f t="shared" si="11"/>
        <v>7</v>
      </c>
      <c r="O14" s="182"/>
      <c r="P14" s="179">
        <f t="shared" si="9"/>
        <v>11</v>
      </c>
      <c r="Q14" s="182"/>
      <c r="R14" s="179">
        <f t="shared" si="7"/>
        <v>9</v>
      </c>
      <c r="S14" s="179"/>
      <c r="T14" s="179">
        <f t="shared" si="3"/>
        <v>12</v>
      </c>
      <c r="U14" s="179"/>
      <c r="V14" s="179">
        <f t="shared" si="2"/>
        <v>13</v>
      </c>
      <c r="W14" s="179"/>
      <c r="Y14" s="171" t="s">
        <v>196</v>
      </c>
      <c r="AA14" s="160" t="s">
        <v>211</v>
      </c>
    </row>
    <row r="15" spans="1:38" ht="12.75" customHeight="1" x14ac:dyDescent="0.3">
      <c r="A15" s="162" t="s">
        <v>187</v>
      </c>
      <c r="B15" s="167">
        <f t="shared" si="0"/>
        <v>14</v>
      </c>
      <c r="C15" s="163" t="s">
        <v>188</v>
      </c>
      <c r="D15" s="167">
        <f t="shared" si="4"/>
        <v>12</v>
      </c>
      <c r="E15" s="163" t="s">
        <v>188</v>
      </c>
      <c r="F15" s="167">
        <f t="shared" si="8"/>
        <v>9</v>
      </c>
      <c r="G15" s="163" t="s">
        <v>188</v>
      </c>
      <c r="H15" s="167">
        <f t="shared" si="1"/>
        <v>14</v>
      </c>
      <c r="I15" s="163" t="s">
        <v>188</v>
      </c>
      <c r="J15" s="167">
        <f t="shared" si="6"/>
        <v>11</v>
      </c>
      <c r="K15" s="163" t="s">
        <v>188</v>
      </c>
      <c r="L15" s="167">
        <f t="shared" si="10"/>
        <v>8</v>
      </c>
      <c r="M15" s="163" t="s">
        <v>188</v>
      </c>
      <c r="N15" s="167">
        <f t="shared" si="11"/>
        <v>8</v>
      </c>
      <c r="O15" s="163" t="s">
        <v>188</v>
      </c>
      <c r="P15" s="167">
        <f t="shared" si="9"/>
        <v>12</v>
      </c>
      <c r="Q15" s="163" t="s">
        <v>188</v>
      </c>
      <c r="R15" s="167">
        <f t="shared" si="7"/>
        <v>10</v>
      </c>
      <c r="S15" s="163" t="s">
        <v>188</v>
      </c>
      <c r="T15" s="157">
        <f t="shared" si="3"/>
        <v>13</v>
      </c>
      <c r="U15" s="185" t="s">
        <v>188</v>
      </c>
      <c r="V15" s="157">
        <f t="shared" si="2"/>
        <v>14</v>
      </c>
      <c r="W15" s="163"/>
    </row>
    <row r="16" spans="1:38" ht="12.75" customHeight="1" x14ac:dyDescent="0.3">
      <c r="A16" s="162" t="s">
        <v>190</v>
      </c>
      <c r="B16" s="167">
        <f t="shared" si="0"/>
        <v>15</v>
      </c>
      <c r="C16" s="163" t="s">
        <v>188</v>
      </c>
      <c r="D16" s="167">
        <f t="shared" si="4"/>
        <v>13</v>
      </c>
      <c r="E16" s="163" t="s">
        <v>188</v>
      </c>
      <c r="F16" s="167">
        <f t="shared" si="8"/>
        <v>10</v>
      </c>
      <c r="G16" s="163" t="s">
        <v>188</v>
      </c>
      <c r="H16" s="167">
        <f t="shared" si="1"/>
        <v>15</v>
      </c>
      <c r="I16" s="163" t="s">
        <v>188</v>
      </c>
      <c r="J16" s="167">
        <f t="shared" si="6"/>
        <v>12</v>
      </c>
      <c r="K16" s="163" t="s">
        <v>188</v>
      </c>
      <c r="L16" s="167">
        <f t="shared" si="10"/>
        <v>9</v>
      </c>
      <c r="M16" s="163" t="s">
        <v>188</v>
      </c>
      <c r="N16" s="167">
        <f t="shared" si="11"/>
        <v>9</v>
      </c>
      <c r="O16" s="163" t="s">
        <v>188</v>
      </c>
      <c r="P16" s="167">
        <f t="shared" si="9"/>
        <v>13</v>
      </c>
      <c r="Q16" s="163" t="s">
        <v>188</v>
      </c>
      <c r="R16" s="167">
        <f t="shared" si="7"/>
        <v>11</v>
      </c>
      <c r="S16" s="163" t="s">
        <v>188</v>
      </c>
      <c r="T16" s="168">
        <f t="shared" si="3"/>
        <v>14</v>
      </c>
      <c r="U16" s="185" t="s">
        <v>188</v>
      </c>
      <c r="V16" s="168">
        <f t="shared" si="2"/>
        <v>15</v>
      </c>
      <c r="W16" s="163"/>
      <c r="Y16" s="186"/>
      <c r="AA16" s="160" t="s">
        <v>212</v>
      </c>
    </row>
    <row r="17" spans="1:37" ht="12.75" customHeight="1" x14ac:dyDescent="0.3">
      <c r="A17" s="162" t="s">
        <v>191</v>
      </c>
      <c r="B17" s="167">
        <f t="shared" si="0"/>
        <v>16</v>
      </c>
      <c r="C17" s="163" t="s">
        <v>188</v>
      </c>
      <c r="D17" s="167">
        <f t="shared" si="4"/>
        <v>14</v>
      </c>
      <c r="E17" s="163" t="s">
        <v>188</v>
      </c>
      <c r="F17" s="171">
        <f t="shared" si="8"/>
        <v>11</v>
      </c>
      <c r="G17" s="183" t="s">
        <v>206</v>
      </c>
      <c r="H17" s="167">
        <f t="shared" si="1"/>
        <v>16</v>
      </c>
      <c r="I17" s="163" t="s">
        <v>188</v>
      </c>
      <c r="J17" s="167">
        <f t="shared" si="6"/>
        <v>13</v>
      </c>
      <c r="K17" s="163" t="s">
        <v>188</v>
      </c>
      <c r="L17" s="167">
        <f t="shared" si="10"/>
        <v>10</v>
      </c>
      <c r="M17" s="163" t="s">
        <v>188</v>
      </c>
      <c r="N17" s="167">
        <f t="shared" si="11"/>
        <v>10</v>
      </c>
      <c r="O17" s="163" t="s">
        <v>188</v>
      </c>
      <c r="P17" s="167">
        <f t="shared" si="9"/>
        <v>14</v>
      </c>
      <c r="Q17" s="163" t="s">
        <v>188</v>
      </c>
      <c r="R17" s="167">
        <f t="shared" si="7"/>
        <v>12</v>
      </c>
      <c r="S17" s="163" t="s">
        <v>188</v>
      </c>
      <c r="T17" s="157">
        <f t="shared" si="3"/>
        <v>15</v>
      </c>
      <c r="U17" s="185" t="s">
        <v>188</v>
      </c>
      <c r="V17" s="157">
        <f t="shared" si="2"/>
        <v>16</v>
      </c>
      <c r="W17" s="163"/>
    </row>
    <row r="18" spans="1:37" ht="12.75" customHeight="1" x14ac:dyDescent="0.3">
      <c r="A18" s="162" t="s">
        <v>193</v>
      </c>
      <c r="B18" s="167">
        <f t="shared" si="0"/>
        <v>17</v>
      </c>
      <c r="C18" s="163" t="s">
        <v>188</v>
      </c>
      <c r="D18" s="167">
        <f t="shared" si="4"/>
        <v>15</v>
      </c>
      <c r="E18" s="163" t="s">
        <v>188</v>
      </c>
      <c r="F18" s="167">
        <f t="shared" si="8"/>
        <v>12</v>
      </c>
      <c r="G18" s="163" t="s">
        <v>188</v>
      </c>
      <c r="H18" s="167">
        <f t="shared" si="1"/>
        <v>17</v>
      </c>
      <c r="I18" s="163" t="s">
        <v>188</v>
      </c>
      <c r="J18" s="167">
        <f t="shared" si="6"/>
        <v>14</v>
      </c>
      <c r="K18" s="163" t="s">
        <v>188</v>
      </c>
      <c r="L18" s="167">
        <f t="shared" si="10"/>
        <v>11</v>
      </c>
      <c r="M18" s="163" t="s">
        <v>188</v>
      </c>
      <c r="N18" s="167">
        <f t="shared" si="11"/>
        <v>11</v>
      </c>
      <c r="O18" s="163" t="s">
        <v>188</v>
      </c>
      <c r="P18" s="167">
        <f t="shared" si="9"/>
        <v>15</v>
      </c>
      <c r="Q18" s="163" t="s">
        <v>188</v>
      </c>
      <c r="R18" s="167">
        <f t="shared" si="7"/>
        <v>13</v>
      </c>
      <c r="S18" s="163" t="s">
        <v>188</v>
      </c>
      <c r="T18" s="168">
        <f t="shared" si="3"/>
        <v>16</v>
      </c>
      <c r="U18" s="185" t="s">
        <v>188</v>
      </c>
      <c r="V18" s="168">
        <f t="shared" si="2"/>
        <v>17</v>
      </c>
      <c r="W18" s="163"/>
      <c r="Y18" s="187"/>
      <c r="AA18" s="160" t="s">
        <v>213</v>
      </c>
    </row>
    <row r="19" spans="1:37" ht="12.75" customHeight="1" x14ac:dyDescent="0.3">
      <c r="A19" s="173" t="s">
        <v>198</v>
      </c>
      <c r="B19" s="174">
        <f t="shared" si="0"/>
        <v>18</v>
      </c>
      <c r="C19" s="176" t="s">
        <v>188</v>
      </c>
      <c r="D19" s="174">
        <f t="shared" si="4"/>
        <v>16</v>
      </c>
      <c r="E19" s="176" t="s">
        <v>188</v>
      </c>
      <c r="F19" s="174">
        <f t="shared" si="8"/>
        <v>13</v>
      </c>
      <c r="G19" s="176" t="s">
        <v>188</v>
      </c>
      <c r="H19" s="174">
        <f t="shared" si="1"/>
        <v>18</v>
      </c>
      <c r="I19" s="176" t="s">
        <v>188</v>
      </c>
      <c r="J19" s="174">
        <f t="shared" si="6"/>
        <v>15</v>
      </c>
      <c r="K19" s="176" t="s">
        <v>188</v>
      </c>
      <c r="L19" s="174">
        <f t="shared" si="10"/>
        <v>12</v>
      </c>
      <c r="M19" s="176" t="s">
        <v>188</v>
      </c>
      <c r="N19" s="174">
        <f t="shared" si="11"/>
        <v>12</v>
      </c>
      <c r="O19" s="176" t="s">
        <v>188</v>
      </c>
      <c r="P19" s="174">
        <f t="shared" si="9"/>
        <v>16</v>
      </c>
      <c r="Q19" s="176" t="s">
        <v>188</v>
      </c>
      <c r="R19" s="174">
        <f t="shared" si="7"/>
        <v>14</v>
      </c>
      <c r="S19" s="176" t="s">
        <v>188</v>
      </c>
      <c r="T19" s="188">
        <f t="shared" si="3"/>
        <v>17</v>
      </c>
      <c r="U19" s="185" t="s">
        <v>188</v>
      </c>
      <c r="V19" s="188">
        <f t="shared" si="2"/>
        <v>18</v>
      </c>
      <c r="W19" s="174"/>
    </row>
    <row r="20" spans="1:37" ht="12.75" customHeight="1" x14ac:dyDescent="0.3">
      <c r="A20" s="173" t="s">
        <v>203</v>
      </c>
      <c r="B20" s="174">
        <f t="shared" si="0"/>
        <v>19</v>
      </c>
      <c r="C20" s="176"/>
      <c r="D20" s="174">
        <f t="shared" si="4"/>
        <v>17</v>
      </c>
      <c r="E20" s="176"/>
      <c r="F20" s="174">
        <f t="shared" si="8"/>
        <v>14</v>
      </c>
      <c r="G20" s="176"/>
      <c r="H20" s="174">
        <f t="shared" si="1"/>
        <v>19</v>
      </c>
      <c r="I20" s="176"/>
      <c r="J20" s="174">
        <f t="shared" si="6"/>
        <v>16</v>
      </c>
      <c r="K20" s="176"/>
      <c r="L20" s="174">
        <f t="shared" si="10"/>
        <v>13</v>
      </c>
      <c r="M20" s="176"/>
      <c r="N20" s="174">
        <f t="shared" si="11"/>
        <v>13</v>
      </c>
      <c r="O20" s="176"/>
      <c r="P20" s="174">
        <f t="shared" si="9"/>
        <v>17</v>
      </c>
      <c r="Q20" s="176"/>
      <c r="R20" s="174">
        <f t="shared" si="7"/>
        <v>15</v>
      </c>
      <c r="S20" s="176"/>
      <c r="T20" s="188">
        <f t="shared" si="3"/>
        <v>18</v>
      </c>
      <c r="U20" s="189"/>
      <c r="V20" s="188">
        <f t="shared" si="2"/>
        <v>19</v>
      </c>
      <c r="W20" s="174"/>
      <c r="Y20" s="160" t="s">
        <v>214</v>
      </c>
      <c r="AI20" s="190"/>
    </row>
    <row r="21" spans="1:37" ht="12.75" customHeight="1" x14ac:dyDescent="0.3">
      <c r="A21" s="178" t="s">
        <v>205</v>
      </c>
      <c r="B21" s="179">
        <f t="shared" si="0"/>
        <v>20</v>
      </c>
      <c r="C21" s="179"/>
      <c r="D21" s="179">
        <f t="shared" si="4"/>
        <v>18</v>
      </c>
      <c r="E21" s="179"/>
      <c r="F21" s="179">
        <f t="shared" si="8"/>
        <v>15</v>
      </c>
      <c r="G21" s="181"/>
      <c r="H21" s="179">
        <f t="shared" si="1"/>
        <v>20</v>
      </c>
      <c r="I21" s="179"/>
      <c r="J21" s="179">
        <f t="shared" si="6"/>
        <v>17</v>
      </c>
      <c r="K21" s="179"/>
      <c r="L21" s="179">
        <f t="shared" si="10"/>
        <v>14</v>
      </c>
      <c r="M21" s="179"/>
      <c r="N21" s="179">
        <f t="shared" si="11"/>
        <v>14</v>
      </c>
      <c r="O21" s="182"/>
      <c r="P21" s="179">
        <f t="shared" si="9"/>
        <v>18</v>
      </c>
      <c r="Q21" s="182"/>
      <c r="R21" s="179">
        <f t="shared" si="7"/>
        <v>16</v>
      </c>
      <c r="S21" s="179"/>
      <c r="T21" s="179">
        <f t="shared" si="3"/>
        <v>19</v>
      </c>
      <c r="U21" s="189"/>
      <c r="V21" s="179">
        <f t="shared" si="2"/>
        <v>20</v>
      </c>
      <c r="W21" s="179"/>
    </row>
    <row r="22" spans="1:37" ht="12.75" customHeight="1" x14ac:dyDescent="0.3">
      <c r="A22" s="162" t="s">
        <v>187</v>
      </c>
      <c r="B22" s="167">
        <f t="shared" si="0"/>
        <v>21</v>
      </c>
      <c r="C22" s="163" t="s">
        <v>188</v>
      </c>
      <c r="D22" s="167">
        <f t="shared" si="4"/>
        <v>19</v>
      </c>
      <c r="E22" s="163" t="s">
        <v>188</v>
      </c>
      <c r="F22" s="167">
        <f t="shared" si="8"/>
        <v>16</v>
      </c>
      <c r="G22" s="163" t="s">
        <v>188</v>
      </c>
      <c r="H22" s="167">
        <f t="shared" si="1"/>
        <v>21</v>
      </c>
      <c r="I22" s="163" t="s">
        <v>188</v>
      </c>
      <c r="J22" s="167">
        <f t="shared" si="6"/>
        <v>18</v>
      </c>
      <c r="K22" s="163" t="s">
        <v>188</v>
      </c>
      <c r="L22" s="167">
        <f t="shared" si="10"/>
        <v>15</v>
      </c>
      <c r="M22" s="284" t="s">
        <v>216</v>
      </c>
      <c r="N22" s="167">
        <f t="shared" si="11"/>
        <v>15</v>
      </c>
      <c r="O22" s="163" t="s">
        <v>188</v>
      </c>
      <c r="P22" s="167">
        <f t="shared" si="9"/>
        <v>19</v>
      </c>
      <c r="Q22" s="163" t="s">
        <v>188</v>
      </c>
      <c r="R22" s="167">
        <f t="shared" si="7"/>
        <v>17</v>
      </c>
      <c r="S22" s="163" t="s">
        <v>188</v>
      </c>
      <c r="T22" s="168">
        <f t="shared" si="3"/>
        <v>20</v>
      </c>
      <c r="U22" s="185" t="s">
        <v>188</v>
      </c>
      <c r="V22" s="168">
        <f t="shared" si="2"/>
        <v>21</v>
      </c>
      <c r="W22" s="163"/>
      <c r="Y22" s="186">
        <v>2</v>
      </c>
      <c r="AA22" s="160" t="s">
        <v>215</v>
      </c>
    </row>
    <row r="23" spans="1:37" ht="12.75" customHeight="1" x14ac:dyDescent="0.3">
      <c r="A23" s="162" t="s">
        <v>190</v>
      </c>
      <c r="B23" s="167">
        <f t="shared" si="0"/>
        <v>22</v>
      </c>
      <c r="C23" s="163" t="s">
        <v>188</v>
      </c>
      <c r="D23" s="167">
        <f t="shared" si="4"/>
        <v>20</v>
      </c>
      <c r="E23" s="163" t="s">
        <v>188</v>
      </c>
      <c r="F23" s="167">
        <f t="shared" si="8"/>
        <v>17</v>
      </c>
      <c r="G23" s="163" t="s">
        <v>188</v>
      </c>
      <c r="H23" s="167">
        <f t="shared" si="1"/>
        <v>22</v>
      </c>
      <c r="I23" s="163" t="s">
        <v>188</v>
      </c>
      <c r="J23" s="167">
        <f t="shared" si="6"/>
        <v>19</v>
      </c>
      <c r="K23" s="163" t="s">
        <v>188</v>
      </c>
      <c r="L23" s="167">
        <f t="shared" si="10"/>
        <v>16</v>
      </c>
      <c r="M23" s="285"/>
      <c r="N23" s="167">
        <f t="shared" si="11"/>
        <v>16</v>
      </c>
      <c r="O23" s="163" t="s">
        <v>188</v>
      </c>
      <c r="P23" s="167">
        <f t="shared" si="9"/>
        <v>20</v>
      </c>
      <c r="Q23" s="163" t="s">
        <v>188</v>
      </c>
      <c r="R23" s="167">
        <f t="shared" si="7"/>
        <v>18</v>
      </c>
      <c r="S23" s="163" t="s">
        <v>188</v>
      </c>
      <c r="T23" s="157">
        <f t="shared" si="3"/>
        <v>21</v>
      </c>
      <c r="U23" s="185" t="s">
        <v>188</v>
      </c>
      <c r="V23" s="157">
        <f t="shared" si="2"/>
        <v>22</v>
      </c>
      <c r="W23" s="163"/>
    </row>
    <row r="24" spans="1:37" ht="12.75" customHeight="1" x14ac:dyDescent="0.3">
      <c r="A24" s="162" t="s">
        <v>191</v>
      </c>
      <c r="B24" s="167">
        <f t="shared" si="0"/>
        <v>23</v>
      </c>
      <c r="C24" s="163" t="s">
        <v>188</v>
      </c>
      <c r="D24" s="167">
        <f t="shared" si="4"/>
        <v>21</v>
      </c>
      <c r="E24" s="163" t="s">
        <v>188</v>
      </c>
      <c r="F24" s="167">
        <f t="shared" si="8"/>
        <v>18</v>
      </c>
      <c r="G24" s="163" t="s">
        <v>188</v>
      </c>
      <c r="H24" s="167">
        <f t="shared" si="1"/>
        <v>23</v>
      </c>
      <c r="I24" s="278" t="s">
        <v>195</v>
      </c>
      <c r="J24" s="167">
        <f t="shared" si="6"/>
        <v>20</v>
      </c>
      <c r="K24" s="163" t="s">
        <v>188</v>
      </c>
      <c r="L24" s="167">
        <f t="shared" si="10"/>
        <v>17</v>
      </c>
      <c r="M24" s="285"/>
      <c r="N24" s="167">
        <f t="shared" si="11"/>
        <v>17</v>
      </c>
      <c r="O24" s="163" t="s">
        <v>188</v>
      </c>
      <c r="P24" s="167">
        <f t="shared" si="9"/>
        <v>21</v>
      </c>
      <c r="Q24" s="163" t="s">
        <v>188</v>
      </c>
      <c r="R24" s="167">
        <f t="shared" si="7"/>
        <v>19</v>
      </c>
      <c r="S24" s="163" t="s">
        <v>188</v>
      </c>
      <c r="T24" s="168">
        <f t="shared" si="3"/>
        <v>22</v>
      </c>
      <c r="U24" s="185" t="s">
        <v>188</v>
      </c>
      <c r="V24" s="168">
        <f t="shared" si="2"/>
        <v>23</v>
      </c>
      <c r="W24" s="163"/>
    </row>
    <row r="25" spans="1:37" ht="12.75" customHeight="1" x14ac:dyDescent="0.3">
      <c r="A25" s="162" t="s">
        <v>193</v>
      </c>
      <c r="B25" s="167">
        <f t="shared" si="0"/>
        <v>24</v>
      </c>
      <c r="C25" s="163" t="s">
        <v>188</v>
      </c>
      <c r="D25" s="167">
        <f t="shared" si="4"/>
        <v>22</v>
      </c>
      <c r="E25" s="163" t="s">
        <v>188</v>
      </c>
      <c r="F25" s="167">
        <f t="shared" si="8"/>
        <v>19</v>
      </c>
      <c r="G25" s="163" t="s">
        <v>188</v>
      </c>
      <c r="H25" s="171">
        <f t="shared" si="1"/>
        <v>24</v>
      </c>
      <c r="I25" s="279"/>
      <c r="J25" s="167">
        <f t="shared" si="6"/>
        <v>21</v>
      </c>
      <c r="K25" s="163" t="s">
        <v>188</v>
      </c>
      <c r="L25" s="167">
        <f t="shared" si="10"/>
        <v>18</v>
      </c>
      <c r="M25" s="285"/>
      <c r="N25" s="167">
        <f t="shared" si="11"/>
        <v>18</v>
      </c>
      <c r="O25" s="163" t="s">
        <v>188</v>
      </c>
      <c r="P25" s="167">
        <f t="shared" si="9"/>
        <v>22</v>
      </c>
      <c r="Q25" s="163" t="s">
        <v>188</v>
      </c>
      <c r="R25" s="167">
        <f t="shared" si="7"/>
        <v>20</v>
      </c>
      <c r="S25" s="163" t="s">
        <v>188</v>
      </c>
      <c r="T25" s="157">
        <f t="shared" si="3"/>
        <v>23</v>
      </c>
      <c r="U25" s="185" t="s">
        <v>188</v>
      </c>
      <c r="V25" s="157">
        <f t="shared" si="2"/>
        <v>24</v>
      </c>
      <c r="W25" s="163"/>
    </row>
    <row r="26" spans="1:37" ht="12.75" customHeight="1" x14ac:dyDescent="0.3">
      <c r="A26" s="173" t="s">
        <v>198</v>
      </c>
      <c r="B26" s="174">
        <f t="shared" si="0"/>
        <v>25</v>
      </c>
      <c r="C26" s="176" t="s">
        <v>188</v>
      </c>
      <c r="D26" s="174">
        <f t="shared" si="4"/>
        <v>23</v>
      </c>
      <c r="E26" s="176" t="s">
        <v>188</v>
      </c>
      <c r="F26" s="174">
        <f t="shared" si="8"/>
        <v>20</v>
      </c>
      <c r="G26" s="176" t="s">
        <v>188</v>
      </c>
      <c r="H26" s="171">
        <f t="shared" si="1"/>
        <v>25</v>
      </c>
      <c r="I26" s="279"/>
      <c r="J26" s="191">
        <f t="shared" si="6"/>
        <v>22</v>
      </c>
      <c r="K26" s="176" t="s">
        <v>188</v>
      </c>
      <c r="L26" s="174">
        <f t="shared" si="10"/>
        <v>19</v>
      </c>
      <c r="M26" s="285"/>
      <c r="N26" s="174">
        <f t="shared" si="11"/>
        <v>19</v>
      </c>
      <c r="O26" s="176" t="s">
        <v>188</v>
      </c>
      <c r="P26" s="174">
        <f t="shared" si="9"/>
        <v>23</v>
      </c>
      <c r="Q26" s="176" t="s">
        <v>188</v>
      </c>
      <c r="R26" s="174">
        <f t="shared" si="7"/>
        <v>21</v>
      </c>
      <c r="S26" s="176" t="s">
        <v>188</v>
      </c>
      <c r="T26" s="174">
        <f t="shared" si="3"/>
        <v>24</v>
      </c>
      <c r="U26" s="185" t="s">
        <v>188</v>
      </c>
      <c r="V26" s="174">
        <f t="shared" si="2"/>
        <v>25</v>
      </c>
      <c r="W26" s="174"/>
      <c r="AG26" s="160" cm="1">
        <f t="array" aca="1" ref="AG26:AG33" ca="1">FREQUENCY(WEEKDAY(ROW(INDIRECT(AC5&amp;":"&amp;AC7)),2),{1;2;3;4;5;6;7})</f>
        <v>37</v>
      </c>
    </row>
    <row r="27" spans="1:37" ht="12.75" customHeight="1" x14ac:dyDescent="0.3">
      <c r="A27" s="173" t="s">
        <v>203</v>
      </c>
      <c r="B27" s="174">
        <f t="shared" si="0"/>
        <v>26</v>
      </c>
      <c r="C27" s="176"/>
      <c r="D27" s="174">
        <f t="shared" si="4"/>
        <v>24</v>
      </c>
      <c r="E27" s="176"/>
      <c r="F27" s="174">
        <f t="shared" si="8"/>
        <v>21</v>
      </c>
      <c r="G27" s="176"/>
      <c r="H27" s="171">
        <f t="shared" si="1"/>
        <v>26</v>
      </c>
      <c r="I27" s="279"/>
      <c r="J27" s="174">
        <f t="shared" si="6"/>
        <v>23</v>
      </c>
      <c r="K27" s="176"/>
      <c r="L27" s="174">
        <f t="shared" si="10"/>
        <v>20</v>
      </c>
      <c r="M27" s="285"/>
      <c r="N27" s="174">
        <f t="shared" si="11"/>
        <v>20</v>
      </c>
      <c r="O27" s="176"/>
      <c r="P27" s="174">
        <f t="shared" si="9"/>
        <v>24</v>
      </c>
      <c r="Q27" s="176"/>
      <c r="R27" s="174">
        <f t="shared" si="7"/>
        <v>22</v>
      </c>
      <c r="S27" s="176"/>
      <c r="T27" s="174">
        <f t="shared" si="3"/>
        <v>25</v>
      </c>
      <c r="U27" s="189"/>
      <c r="V27" s="174">
        <f t="shared" si="2"/>
        <v>26</v>
      </c>
      <c r="W27" s="174"/>
      <c r="AG27" s="160">
        <f ca="1"/>
        <v>37</v>
      </c>
    </row>
    <row r="28" spans="1:37" ht="12.75" customHeight="1" x14ac:dyDescent="0.3">
      <c r="A28" s="178" t="s">
        <v>205</v>
      </c>
      <c r="B28" s="179">
        <f t="shared" si="0"/>
        <v>27</v>
      </c>
      <c r="C28" s="179"/>
      <c r="D28" s="179">
        <f t="shared" si="4"/>
        <v>25</v>
      </c>
      <c r="E28" s="179"/>
      <c r="F28" s="179">
        <f t="shared" si="8"/>
        <v>22</v>
      </c>
      <c r="G28" s="179"/>
      <c r="H28" s="179">
        <f t="shared" si="1"/>
        <v>27</v>
      </c>
      <c r="I28" s="279"/>
      <c r="J28" s="179">
        <f t="shared" si="6"/>
        <v>24</v>
      </c>
      <c r="K28" s="179"/>
      <c r="L28" s="192">
        <f t="shared" si="10"/>
        <v>21</v>
      </c>
      <c r="M28" s="285"/>
      <c r="N28" s="179">
        <f t="shared" si="11"/>
        <v>21</v>
      </c>
      <c r="O28" s="193"/>
      <c r="P28" s="179">
        <f t="shared" si="9"/>
        <v>25</v>
      </c>
      <c r="Q28" s="179"/>
      <c r="R28" s="179">
        <f t="shared" si="7"/>
        <v>23</v>
      </c>
      <c r="S28" s="179"/>
      <c r="T28" s="179">
        <f t="shared" si="3"/>
        <v>26</v>
      </c>
      <c r="U28" s="189"/>
      <c r="V28" s="179">
        <f t="shared" si="2"/>
        <v>27</v>
      </c>
      <c r="W28" s="179"/>
      <c r="AG28" s="160">
        <f ca="1"/>
        <v>37</v>
      </c>
    </row>
    <row r="29" spans="1:37" ht="12.75" customHeight="1" x14ac:dyDescent="0.3">
      <c r="A29" s="162" t="s">
        <v>187</v>
      </c>
      <c r="B29" s="167">
        <f t="shared" si="0"/>
        <v>28</v>
      </c>
      <c r="C29" s="163" t="s">
        <v>188</v>
      </c>
      <c r="D29" s="167">
        <f t="shared" si="4"/>
        <v>26</v>
      </c>
      <c r="E29" s="163" t="s">
        <v>188</v>
      </c>
      <c r="F29" s="167">
        <f t="shared" si="8"/>
        <v>23</v>
      </c>
      <c r="G29" s="163" t="s">
        <v>188</v>
      </c>
      <c r="H29" s="167">
        <f t="shared" si="1"/>
        <v>28</v>
      </c>
      <c r="I29" s="279"/>
      <c r="J29" s="158">
        <f t="shared" si="6"/>
        <v>25</v>
      </c>
      <c r="K29" s="163" t="s">
        <v>188</v>
      </c>
      <c r="L29" s="167">
        <f t="shared" si="10"/>
        <v>22</v>
      </c>
      <c r="M29" s="285"/>
      <c r="N29" s="167">
        <f t="shared" si="11"/>
        <v>22</v>
      </c>
      <c r="O29" s="163" t="s">
        <v>188</v>
      </c>
      <c r="P29" s="167">
        <f t="shared" si="9"/>
        <v>26</v>
      </c>
      <c r="Q29" s="163" t="s">
        <v>188</v>
      </c>
      <c r="R29" s="167">
        <f t="shared" si="7"/>
        <v>24</v>
      </c>
      <c r="S29" s="163" t="s">
        <v>188</v>
      </c>
      <c r="T29" s="157">
        <f t="shared" si="3"/>
        <v>27</v>
      </c>
      <c r="U29" s="185" t="s">
        <v>188</v>
      </c>
      <c r="V29" s="157">
        <f t="shared" si="2"/>
        <v>28</v>
      </c>
      <c r="W29" s="163"/>
      <c r="AG29" s="160">
        <f ca="1"/>
        <v>37</v>
      </c>
    </row>
    <row r="30" spans="1:37" ht="12.75" customHeight="1" x14ac:dyDescent="0.3">
      <c r="A30" s="162" t="s">
        <v>190</v>
      </c>
      <c r="B30" s="167">
        <f>B29+1</f>
        <v>29</v>
      </c>
      <c r="C30" s="163" t="s">
        <v>188</v>
      </c>
      <c r="D30" s="167">
        <f t="shared" si="4"/>
        <v>27</v>
      </c>
      <c r="E30" s="163" t="s">
        <v>188</v>
      </c>
      <c r="F30" s="167">
        <f t="shared" si="8"/>
        <v>24</v>
      </c>
      <c r="G30" s="163" t="s">
        <v>188</v>
      </c>
      <c r="H30" s="167">
        <f t="shared" si="1"/>
        <v>29</v>
      </c>
      <c r="I30" s="279"/>
      <c r="J30" s="158">
        <f t="shared" si="6"/>
        <v>26</v>
      </c>
      <c r="K30" s="163" t="s">
        <v>188</v>
      </c>
      <c r="L30" s="166">
        <f t="shared" si="10"/>
        <v>23</v>
      </c>
      <c r="M30" s="285"/>
      <c r="N30" s="167">
        <f t="shared" si="11"/>
        <v>23</v>
      </c>
      <c r="O30" s="163" t="s">
        <v>188</v>
      </c>
      <c r="P30" s="167">
        <f t="shared" si="9"/>
        <v>27</v>
      </c>
      <c r="Q30" s="163" t="s">
        <v>188</v>
      </c>
      <c r="R30" s="167">
        <f t="shared" si="7"/>
        <v>25</v>
      </c>
      <c r="S30" s="163" t="s">
        <v>188</v>
      </c>
      <c r="T30" s="168">
        <f t="shared" si="3"/>
        <v>28</v>
      </c>
      <c r="U30" s="185" t="s">
        <v>188</v>
      </c>
      <c r="V30" s="168">
        <f t="shared" si="2"/>
        <v>29</v>
      </c>
      <c r="W30" s="163"/>
      <c r="AG30" s="160">
        <f ca="1"/>
        <v>37</v>
      </c>
    </row>
    <row r="31" spans="1:37" ht="12.75" customHeight="1" x14ac:dyDescent="0.3">
      <c r="A31" s="162" t="s">
        <v>191</v>
      </c>
      <c r="B31" s="167">
        <f t="shared" si="0"/>
        <v>30</v>
      </c>
      <c r="C31" s="163" t="s">
        <v>188</v>
      </c>
      <c r="D31" s="167">
        <f t="shared" si="4"/>
        <v>28</v>
      </c>
      <c r="E31" s="163" t="s">
        <v>188</v>
      </c>
      <c r="F31" s="167">
        <f t="shared" si="8"/>
        <v>25</v>
      </c>
      <c r="G31" s="163" t="s">
        <v>188</v>
      </c>
      <c r="H31" s="167">
        <f t="shared" si="1"/>
        <v>30</v>
      </c>
      <c r="I31" s="279"/>
      <c r="J31" s="158">
        <f t="shared" si="6"/>
        <v>27</v>
      </c>
      <c r="K31" s="163" t="s">
        <v>188</v>
      </c>
      <c r="L31" s="167">
        <f t="shared" si="10"/>
        <v>24</v>
      </c>
      <c r="M31" s="285"/>
      <c r="N31" s="167">
        <f t="shared" si="11"/>
        <v>24</v>
      </c>
      <c r="O31" s="163" t="s">
        <v>188</v>
      </c>
      <c r="P31" s="167">
        <f t="shared" si="9"/>
        <v>28</v>
      </c>
      <c r="Q31" s="163" t="s">
        <v>188</v>
      </c>
      <c r="R31" s="167">
        <f t="shared" si="7"/>
        <v>26</v>
      </c>
      <c r="S31" s="163" t="s">
        <v>188</v>
      </c>
      <c r="V31" s="157">
        <f t="shared" si="2"/>
        <v>30</v>
      </c>
      <c r="W31" s="163"/>
      <c r="AG31" s="160">
        <f ca="1"/>
        <v>37</v>
      </c>
    </row>
    <row r="32" spans="1:37" ht="12.75" customHeight="1" x14ac:dyDescent="0.3">
      <c r="A32" s="162" t="s">
        <v>193</v>
      </c>
      <c r="D32" s="167">
        <f t="shared" si="4"/>
        <v>29</v>
      </c>
      <c r="E32" s="163" t="s">
        <v>188</v>
      </c>
      <c r="F32" s="167">
        <f t="shared" si="8"/>
        <v>26</v>
      </c>
      <c r="G32" s="163" t="s">
        <v>188</v>
      </c>
      <c r="H32" s="167">
        <f t="shared" si="1"/>
        <v>31</v>
      </c>
      <c r="I32" s="280"/>
      <c r="J32" s="158">
        <f t="shared" si="6"/>
        <v>28</v>
      </c>
      <c r="K32" s="163" t="s">
        <v>188</v>
      </c>
      <c r="L32" s="167">
        <f t="shared" si="10"/>
        <v>25</v>
      </c>
      <c r="M32" s="285"/>
      <c r="N32" s="167">
        <f t="shared" si="11"/>
        <v>25</v>
      </c>
      <c r="O32" s="278" t="s">
        <v>195</v>
      </c>
      <c r="P32" s="167">
        <f t="shared" si="9"/>
        <v>29</v>
      </c>
      <c r="Q32" s="163" t="s">
        <v>188</v>
      </c>
      <c r="R32" s="167">
        <f t="shared" si="7"/>
        <v>27</v>
      </c>
      <c r="S32" s="171" t="s">
        <v>196</v>
      </c>
      <c r="AG32" s="160">
        <f ca="1"/>
        <v>37</v>
      </c>
      <c r="AI32" s="194"/>
      <c r="AJ32" s="194"/>
      <c r="AK32" s="194"/>
    </row>
    <row r="33" spans="1:38" ht="12.75" customHeight="1" x14ac:dyDescent="0.3">
      <c r="A33" s="173" t="s">
        <v>198</v>
      </c>
      <c r="D33" s="174">
        <f t="shared" si="4"/>
        <v>30</v>
      </c>
      <c r="E33" s="176" t="s">
        <v>188</v>
      </c>
      <c r="F33" s="174">
        <f t="shared" si="8"/>
        <v>27</v>
      </c>
      <c r="G33" s="176" t="s">
        <v>188</v>
      </c>
      <c r="H33" s="161"/>
      <c r="I33" s="161"/>
      <c r="J33" s="174">
        <f t="shared" si="6"/>
        <v>29</v>
      </c>
      <c r="K33" s="176" t="s">
        <v>188</v>
      </c>
      <c r="L33" s="174">
        <f t="shared" si="10"/>
        <v>26</v>
      </c>
      <c r="M33" s="285"/>
      <c r="N33" s="174">
        <f t="shared" si="11"/>
        <v>26</v>
      </c>
      <c r="O33" s="279"/>
      <c r="P33" s="167">
        <f t="shared" si="9"/>
        <v>30</v>
      </c>
      <c r="Q33" s="163" t="s">
        <v>188</v>
      </c>
      <c r="R33" s="174">
        <f t="shared" si="7"/>
        <v>28</v>
      </c>
      <c r="S33" s="176" t="s">
        <v>188</v>
      </c>
      <c r="AG33" s="160">
        <f ca="1"/>
        <v>0</v>
      </c>
    </row>
    <row r="34" spans="1:38" ht="12.75" customHeight="1" x14ac:dyDescent="0.3">
      <c r="A34" s="173" t="s">
        <v>203</v>
      </c>
      <c r="D34" s="174">
        <f t="shared" si="4"/>
        <v>31</v>
      </c>
      <c r="E34" s="176"/>
      <c r="F34" s="174">
        <f t="shared" si="8"/>
        <v>28</v>
      </c>
      <c r="G34" s="176"/>
      <c r="H34" s="161"/>
      <c r="I34" s="161"/>
      <c r="J34" s="174">
        <f t="shared" si="6"/>
        <v>30</v>
      </c>
      <c r="K34" s="176"/>
      <c r="L34" s="174">
        <f t="shared" si="10"/>
        <v>27</v>
      </c>
      <c r="M34" s="285"/>
      <c r="N34" s="174">
        <f t="shared" si="11"/>
        <v>27</v>
      </c>
      <c r="O34" s="279"/>
      <c r="R34" s="174">
        <f t="shared" si="7"/>
        <v>29</v>
      </c>
      <c r="S34" s="176"/>
      <c r="AB34" s="160"/>
      <c r="AC34" s="161"/>
      <c r="AG34" s="160">
        <v>32</v>
      </c>
    </row>
    <row r="35" spans="1:38" ht="12.75" customHeight="1" x14ac:dyDescent="0.3">
      <c r="A35" s="178" t="s">
        <v>205</v>
      </c>
      <c r="F35" s="179">
        <f t="shared" si="8"/>
        <v>29</v>
      </c>
      <c r="G35" s="179"/>
      <c r="H35" s="161"/>
      <c r="I35" s="161"/>
      <c r="J35" s="179">
        <f t="shared" si="6"/>
        <v>31</v>
      </c>
      <c r="K35" s="179"/>
      <c r="L35" s="179">
        <f t="shared" si="6"/>
        <v>28</v>
      </c>
      <c r="M35" s="286"/>
      <c r="N35" s="179">
        <f t="shared" si="11"/>
        <v>28</v>
      </c>
      <c r="O35" s="279"/>
      <c r="R35" s="179">
        <f t="shared" si="7"/>
        <v>30</v>
      </c>
      <c r="S35" s="182"/>
      <c r="AB35" s="160"/>
      <c r="AC35" s="161"/>
      <c r="AG35" s="160">
        <v>1.5</v>
      </c>
    </row>
    <row r="36" spans="1:38" ht="12.75" customHeight="1" x14ac:dyDescent="0.3">
      <c r="A36" s="162" t="s">
        <v>187</v>
      </c>
      <c r="F36" s="287">
        <f t="shared" si="8"/>
        <v>30</v>
      </c>
      <c r="G36" s="163"/>
      <c r="H36" s="161"/>
      <c r="I36" s="161"/>
      <c r="N36" s="167">
        <f t="shared" si="11"/>
        <v>29</v>
      </c>
      <c r="O36" s="279"/>
      <c r="R36" s="167">
        <f t="shared" si="7"/>
        <v>31</v>
      </c>
      <c r="S36" s="163" t="s">
        <v>188</v>
      </c>
      <c r="AB36" s="195"/>
      <c r="AC36" s="161"/>
      <c r="AG36" s="160">
        <f>AG35*AG34</f>
        <v>48</v>
      </c>
      <c r="AJ36" s="194"/>
      <c r="AK36" s="194"/>
      <c r="AL36" s="194"/>
    </row>
    <row r="37" spans="1:38" ht="12.75" customHeight="1" x14ac:dyDescent="0.3">
      <c r="A37" s="162" t="s">
        <v>190</v>
      </c>
      <c r="H37" s="161"/>
      <c r="I37" s="161"/>
      <c r="N37" s="167">
        <f t="shared" si="11"/>
        <v>30</v>
      </c>
      <c r="O37" s="280"/>
      <c r="AB37" s="195"/>
      <c r="AC37" s="161"/>
    </row>
    <row r="38" spans="1:38" ht="12.75" customHeight="1" x14ac:dyDescent="0.3">
      <c r="A38" s="162" t="s">
        <v>191</v>
      </c>
      <c r="N38" s="167">
        <f t="shared" si="11"/>
        <v>31</v>
      </c>
      <c r="O38" s="163" t="s">
        <v>188</v>
      </c>
      <c r="Q38" s="198"/>
      <c r="AB38" s="195"/>
      <c r="AC38" s="161"/>
    </row>
    <row r="39" spans="1:38" ht="12.75" customHeight="1" x14ac:dyDescent="0.3">
      <c r="A39" s="162" t="s">
        <v>193</v>
      </c>
      <c r="O39" s="160"/>
      <c r="Q39" s="198"/>
      <c r="AB39" s="195"/>
      <c r="AC39" s="161"/>
    </row>
    <row r="40" spans="1:38" ht="12.75" customHeight="1" x14ac:dyDescent="0.3">
      <c r="A40" s="162" t="s">
        <v>198</v>
      </c>
      <c r="O40" s="160"/>
      <c r="Q40" s="198"/>
      <c r="AB40" s="195"/>
      <c r="AC40" s="161"/>
    </row>
    <row r="41" spans="1:38" ht="12.75" customHeight="1" x14ac:dyDescent="0.3">
      <c r="A41" s="162" t="s">
        <v>203</v>
      </c>
      <c r="O41" s="160"/>
      <c r="Q41" s="198"/>
      <c r="AB41" s="195"/>
      <c r="AC41" s="161"/>
    </row>
    <row r="42" spans="1:38" ht="12.75" customHeight="1" x14ac:dyDescent="0.3">
      <c r="A42" s="196"/>
      <c r="O42" s="160"/>
      <c r="Q42" s="198"/>
      <c r="R42" s="161"/>
      <c r="AB42" s="195"/>
      <c r="AC42" s="161"/>
    </row>
    <row r="43" spans="1:38" ht="12.75" customHeight="1" x14ac:dyDescent="0.3">
      <c r="A43" s="199" t="s">
        <v>187</v>
      </c>
      <c r="B43" s="200"/>
      <c r="C43" s="157">
        <f>COUNTIFS(C$2:C$37,$Y$4,$A$2:$A$37,A8)</f>
        <v>4</v>
      </c>
      <c r="D43" s="200"/>
      <c r="E43" s="157">
        <f>COUNTIFS(E$2:E$37,$Y$4,$A$2:$A$37,A8)</f>
        <v>4</v>
      </c>
      <c r="F43" s="200"/>
      <c r="G43" s="157">
        <f>COUNTIFS(G$2:G$37,$Y$4,$A$2:$A$37,A8)</f>
        <v>4</v>
      </c>
      <c r="H43" s="200"/>
      <c r="I43" s="157">
        <f>COUNTIFS(I$2:I$37,$Y$4,$A$2:$A$37,A8)</f>
        <v>3</v>
      </c>
      <c r="J43" s="200"/>
      <c r="K43" s="157">
        <f>COUNTIFS(K$2:K$37,$Y$4,$A$2:$A$37,A8)</f>
        <v>3</v>
      </c>
      <c r="L43" s="200"/>
      <c r="M43" s="157">
        <f>COUNTIFS(M$2:M$37,$Y$4,$A$2:$A$37,A8)</f>
        <v>2</v>
      </c>
      <c r="N43" s="200"/>
      <c r="O43" s="157">
        <f>COUNTIFS(O$2:O$41,$Y$4,$A$2:$A$41,A8)</f>
        <v>4</v>
      </c>
      <c r="P43" s="200"/>
      <c r="Q43" s="157">
        <f>COUNTIFS(Q$2:Q$37,$Y$4,$A$2:$A$37,A8)</f>
        <v>4</v>
      </c>
      <c r="R43" s="200"/>
      <c r="S43" s="157">
        <f>COUNTIFS(S$2:S$37,$Y$4,$A$2:$A$37,A8)</f>
        <v>4</v>
      </c>
      <c r="T43" s="201"/>
      <c r="U43" s="157">
        <f>COUNTIFS(U$2:U$37,$Y$4,$A$2:$A$37,A8)</f>
        <v>4</v>
      </c>
      <c r="V43" s="201"/>
      <c r="W43" s="157">
        <f>COUNTIFS(W$2:W$37,$Y$4,$A$2:$A$37,#REF!)</f>
        <v>0</v>
      </c>
      <c r="Y43" s="203">
        <f>SUBTOTAL(9,C43:S43)</f>
        <v>32</v>
      </c>
      <c r="Z43" s="203">
        <f t="shared" ref="Z43:Z48" si="12">Y43*2</f>
        <v>64</v>
      </c>
      <c r="AA43" s="204">
        <f t="shared" ref="AA43:AA48" si="13">(C43+E43+G43+I43+K43+M43+O43+Q43+S43+U43+W43)*2</f>
        <v>72</v>
      </c>
      <c r="AB43" s="205"/>
    </row>
    <row r="44" spans="1:38" ht="12.75" customHeight="1" x14ac:dyDescent="0.3">
      <c r="A44" s="199" t="s">
        <v>190</v>
      </c>
      <c r="B44" s="200"/>
      <c r="C44" s="157">
        <f>COUNTIFS(C$2:C$37,$Y$4,$A$2:$A$37,$A2)</f>
        <v>4</v>
      </c>
      <c r="D44" s="200"/>
      <c r="E44" s="157">
        <f>COUNTIFS(E$2:E$37,$Y$4,$A$2:$A$37,$A2)</f>
        <v>4</v>
      </c>
      <c r="F44" s="200"/>
      <c r="G44" s="157">
        <f>COUNTIFS(G$2:G$37,$Y$4,$A$2:$A$37,$A2)</f>
        <v>4</v>
      </c>
      <c r="H44" s="200"/>
      <c r="I44" s="157">
        <f>COUNTIFS(I$2:I$37,$Y$4,$A$2:$A$37,$A2)</f>
        <v>4</v>
      </c>
      <c r="J44" s="200"/>
      <c r="K44" s="157">
        <f>COUNTIFS(K$2:K$37,$Y$4,$A$2:$A$37,$A2)</f>
        <v>3</v>
      </c>
      <c r="L44" s="200"/>
      <c r="M44" s="157">
        <f>COUNTIFS(M$2:M$37,$Y$4,$A$2:$A$37,$A2)</f>
        <v>2</v>
      </c>
      <c r="N44" s="200"/>
      <c r="O44" s="157">
        <f>COUNTIFS(O$2:O$41,$Y$4,$A$2:$A$41,$A2)</f>
        <v>4</v>
      </c>
      <c r="P44" s="200"/>
      <c r="Q44" s="157">
        <f>COUNTIFS(Q$2:Q$37,$Y$4,$A$2:$A$37,$A2)</f>
        <v>4</v>
      </c>
      <c r="R44" s="200"/>
      <c r="S44" s="157">
        <f>COUNTIFS(S$2:S$37,$Y$4,$A$2:$A$37,$A2)</f>
        <v>4</v>
      </c>
      <c r="T44" s="201"/>
      <c r="U44" s="157">
        <f>COUNTIFS(U$2:U$37,$Y$4,$A$2:$A$37,$A2)</f>
        <v>4</v>
      </c>
      <c r="V44" s="201"/>
      <c r="W44" s="157">
        <f>COUNTIFS(W$2:W$37,$Y$4,$A$2:$A$37,$A2)</f>
        <v>0</v>
      </c>
      <c r="X44" s="202"/>
      <c r="Y44" s="203">
        <f>SUBTOTAL(9,C44:S44)</f>
        <v>33</v>
      </c>
      <c r="Z44" s="203">
        <f t="shared" si="12"/>
        <v>66</v>
      </c>
      <c r="AA44" s="204">
        <f t="shared" si="13"/>
        <v>74</v>
      </c>
      <c r="AB44" s="195"/>
      <c r="AC44" s="161"/>
      <c r="AJ44" s="194"/>
      <c r="AK44" s="194"/>
      <c r="AL44" s="194"/>
    </row>
    <row r="45" spans="1:38" ht="12.75" customHeight="1" x14ac:dyDescent="0.3">
      <c r="A45" s="199" t="s">
        <v>191</v>
      </c>
      <c r="B45" s="200"/>
      <c r="C45" s="157">
        <f>COUNTIFS(C$2:C$37,$Y$4,$A$2:$A$37,$A3)</f>
        <v>4</v>
      </c>
      <c r="D45" s="200"/>
      <c r="E45" s="157">
        <f>COUNTIFS(E$2:E$37,$Y$4,$A$2:$A$37,$A3)</f>
        <v>4</v>
      </c>
      <c r="F45" s="200"/>
      <c r="G45" s="157">
        <f>COUNTIFS(G$2:G$37,$Y$4,$A$2:$A$37,$A3)</f>
        <v>3</v>
      </c>
      <c r="H45" s="200"/>
      <c r="I45" s="157">
        <f>COUNTIFS(I$2:I$37,$Y$4,$A$2:$A$37,$A3)</f>
        <v>3</v>
      </c>
      <c r="J45" s="200"/>
      <c r="K45" s="157">
        <f>COUNTIFS(K$2:K$37,$Y$4,$A$2:$A$37,$A3)</f>
        <v>3</v>
      </c>
      <c r="L45" s="200"/>
      <c r="M45" s="157">
        <f>COUNTIFS(M$2:M$37,$Y$4,$A$2:$A$37,$A3)</f>
        <v>2</v>
      </c>
      <c r="N45" s="200"/>
      <c r="O45" s="157">
        <f>COUNTIFS(O$2:O$41,$Y$4,$A$2:$A$41,$A3)</f>
        <v>5</v>
      </c>
      <c r="P45" s="200"/>
      <c r="Q45" s="157">
        <f>COUNTIFS(Q$2:Q$37,$Y$4,$A$2:$A$37,$A3)</f>
        <v>4</v>
      </c>
      <c r="R45" s="200"/>
      <c r="S45" s="157">
        <f>COUNTIFS(S$2:S$37,$Y$4,$A$2:$A$37,$A3)</f>
        <v>4</v>
      </c>
      <c r="T45" s="201"/>
      <c r="U45" s="157">
        <f>COUNTIFS(U$2:U$37,$Y$4,$A$2:$A$37,$A3)</f>
        <v>4</v>
      </c>
      <c r="V45" s="201"/>
      <c r="W45" s="157">
        <f>COUNTIFS(W$2:W$37,$Y$4,$A$2:$A$37,$A3)</f>
        <v>0</v>
      </c>
      <c r="X45" s="202"/>
      <c r="Y45" s="203">
        <f>SUBTOTAL(9,C45:S45)</f>
        <v>32</v>
      </c>
      <c r="Z45" s="203">
        <f t="shared" si="12"/>
        <v>64</v>
      </c>
      <c r="AA45" s="204">
        <f t="shared" si="13"/>
        <v>72</v>
      </c>
      <c r="AB45" s="201"/>
      <c r="AC45" s="161"/>
    </row>
    <row r="46" spans="1:38" ht="12.75" customHeight="1" x14ac:dyDescent="0.3">
      <c r="A46" s="199" t="s">
        <v>193</v>
      </c>
      <c r="B46" s="200"/>
      <c r="C46" s="157">
        <f>COUNTIFS(C$2:C$37,$Y$4,$A$2:$A$37,$A4)</f>
        <v>3</v>
      </c>
      <c r="D46" s="200"/>
      <c r="E46" s="157">
        <f>COUNTIFS(E$2:E$37,$Y$4,$A$2:$A$37,$A4)</f>
        <v>5</v>
      </c>
      <c r="F46" s="200"/>
      <c r="G46" s="157">
        <f>COUNTIFS(G$2:G$37,$Y$4,$A$2:$A$37,$A4)</f>
        <v>4</v>
      </c>
      <c r="H46" s="200"/>
      <c r="I46" s="157">
        <f>COUNTIFS(I$2:I$37,$Y$4,$A$2:$A$37,$A4)</f>
        <v>3</v>
      </c>
      <c r="J46" s="200"/>
      <c r="K46" s="157">
        <f>COUNTIFS(K$2:K$37,$Y$4,$A$2:$A$37,$A4)</f>
        <v>4</v>
      </c>
      <c r="L46" s="200"/>
      <c r="M46" s="157">
        <f>COUNTIFS(M$2:M$37,$Y$4,$A$2:$A$37,$A4)</f>
        <v>2</v>
      </c>
      <c r="N46" s="200"/>
      <c r="O46" s="157">
        <f>COUNTIFS(O$2:O$41,$Y$4,$A$2:$A$41,$A4)</f>
        <v>3</v>
      </c>
      <c r="P46" s="200"/>
      <c r="Q46" s="157">
        <f>COUNTIFS(Q$2:Q$37,$Y$4,$A$2:$A$37,$A4)</f>
        <v>5</v>
      </c>
      <c r="R46" s="200"/>
      <c r="S46" s="157">
        <f>COUNTIFS(S$2:S$37,$Y$4,$A$2:$A$37,$A4)</f>
        <v>3</v>
      </c>
      <c r="T46" s="201"/>
      <c r="U46" s="157">
        <f>COUNTIFS(U$2:U$37,$Y$4,$A$2:$A$37,$A4)</f>
        <v>4</v>
      </c>
      <c r="V46" s="201"/>
      <c r="W46" s="157">
        <f>COUNTIFS(W$2:W$37,$Y$4,$A$2:$A$37,$A4)</f>
        <v>0</v>
      </c>
      <c r="X46" s="202"/>
      <c r="Y46" s="203">
        <f>SUBTOTAL(9,C46:S46)</f>
        <v>32</v>
      </c>
      <c r="Z46" s="203">
        <f t="shared" si="12"/>
        <v>64</v>
      </c>
      <c r="AA46" s="204">
        <f t="shared" si="13"/>
        <v>72</v>
      </c>
      <c r="AB46" s="201"/>
      <c r="AC46" s="161"/>
    </row>
    <row r="47" spans="1:38" ht="14.4" x14ac:dyDescent="0.3">
      <c r="A47" s="199" t="s">
        <v>198</v>
      </c>
      <c r="C47" s="157">
        <f>COUNTIFS(C$2:C$37,$Y$4,$A$2:$A$37,$A5)</f>
        <v>3</v>
      </c>
      <c r="E47" s="157">
        <f>COUNTIFS(E$2:E$37,$Y$4,$A$2:$A$37,$A5)</f>
        <v>5</v>
      </c>
      <c r="G47" s="157">
        <f>COUNTIFS(G$2:G$37,$Y$4,$A$2:$A$37,$A5)</f>
        <v>4</v>
      </c>
      <c r="I47" s="157">
        <f>COUNTIFS(I$2:I$37,$Y$4,$A$2:$A$37,$A5)</f>
        <v>3</v>
      </c>
      <c r="K47" s="157">
        <f>COUNTIFS(K$2:K$37,$Y$4,$A$2:$A$37,$A5)</f>
        <v>4</v>
      </c>
      <c r="M47" s="157">
        <f>COUNTIFS(M$2:M$37,$Y$4,$A$2:$A$37,$A5)</f>
        <v>2</v>
      </c>
      <c r="O47" s="157">
        <f>COUNTIFS(O$2:O$41,$Y$4,$A$2:$A$41,$A5)</f>
        <v>3</v>
      </c>
      <c r="Q47" s="157">
        <f>COUNTIFS(Q$2:Q$37,$Y$4,$A$2:$A$37,$A5)</f>
        <v>5</v>
      </c>
      <c r="S47" s="157">
        <f>COUNTIFS(S$2:S$37,$Y$4,$A$2:$A$37,$A5)</f>
        <v>4</v>
      </c>
      <c r="U47" s="157">
        <f>COUNTIFS(U$2:U$37,$Y$4,$A$2:$A$37,$A5)</f>
        <v>4</v>
      </c>
      <c r="W47" s="157">
        <f>COUNTIFS(W$2:W$37,$Y$4,$A$2:$A$37,$A5)</f>
        <v>0</v>
      </c>
      <c r="X47" s="202"/>
      <c r="Y47" s="203">
        <f>SUBTOTAL(9,C47:S47)</f>
        <v>33</v>
      </c>
      <c r="Z47" s="203">
        <f t="shared" si="12"/>
        <v>66</v>
      </c>
      <c r="AA47" s="204">
        <f t="shared" si="13"/>
        <v>74</v>
      </c>
      <c r="AB47" s="201"/>
      <c r="AC47" s="161"/>
    </row>
    <row r="48" spans="1:38" ht="14.4" x14ac:dyDescent="0.3">
      <c r="A48" s="199" t="s">
        <v>203</v>
      </c>
      <c r="C48" s="157">
        <f>COUNTIFS(C$2:C$37,$Y$4,$A$2:$A$37,$A6)</f>
        <v>0</v>
      </c>
      <c r="E48" s="157">
        <f>COUNTIFS(E$2:E$37,$Y$4,$A$2:$A$37,$A6)</f>
        <v>0</v>
      </c>
      <c r="G48" s="157">
        <f>COUNTIFS(G$2:G$37,$Y$4,$A$2:$A$37,$A6)</f>
        <v>0</v>
      </c>
      <c r="I48" s="157">
        <f>COUNTIFS(I$2:I$37,$Y$4,$A$2:$A$37,$A6)</f>
        <v>0</v>
      </c>
      <c r="K48" s="157">
        <f>COUNTIFS(K$2:K$37,$Y$4,$A$2:$A$37,$A6)</f>
        <v>0</v>
      </c>
      <c r="M48" s="157">
        <f>COUNTIFS(M$2:M$37,$Y$4,$A$2:$A$37,$A6)</f>
        <v>0</v>
      </c>
      <c r="O48" s="157">
        <f>COUNTIFS(O$2:O$41,$Y$4,$A$2:$A$41,$A6)</f>
        <v>0</v>
      </c>
      <c r="Q48" s="157">
        <f>COUNTIFS(Q$2:Q$37,$Y$4,$A$2:$A$37,$A6)</f>
        <v>0</v>
      </c>
      <c r="S48" s="157">
        <f>COUNTIFS(S$2:S$37,$Y$4,$A$2:$A$37,$A6)</f>
        <v>0</v>
      </c>
      <c r="U48" s="157">
        <f>COUNTIFS(U$2:U$37,$Y$4,$A$2:$A$37,$A6)</f>
        <v>0</v>
      </c>
      <c r="W48" s="157">
        <f>COUNTIFS(W$2:W$37,$Y$4,$A$2:$A$37,$A6)</f>
        <v>0</v>
      </c>
      <c r="Y48" s="203">
        <f>SUBTOTAL(9,C48:U48)</f>
        <v>0</v>
      </c>
      <c r="Z48" s="203">
        <f t="shared" si="12"/>
        <v>0</v>
      </c>
      <c r="AA48" s="204">
        <f t="shared" si="13"/>
        <v>0</v>
      </c>
      <c r="AB48" s="201"/>
      <c r="AC48" s="161"/>
    </row>
    <row r="49" spans="1:38" ht="14.4" x14ac:dyDescent="0.3">
      <c r="C49" s="160">
        <f>SUM(C43:C48)</f>
        <v>18</v>
      </c>
      <c r="E49" s="160">
        <f>SUM(E43:E48)</f>
        <v>22</v>
      </c>
      <c r="G49" s="160">
        <f>SUM(G43:G48)</f>
        <v>19</v>
      </c>
      <c r="I49" s="160">
        <f>SUM(I43:I48)</f>
        <v>16</v>
      </c>
      <c r="K49" s="160">
        <f>SUM(K43:K48)</f>
        <v>17</v>
      </c>
      <c r="M49" s="160">
        <f>SUM(M43:M48)</f>
        <v>10</v>
      </c>
      <c r="O49" s="160">
        <f>SUM(O43:O48)</f>
        <v>19</v>
      </c>
      <c r="Q49" s="160">
        <f>SUM(Q43:Q48)</f>
        <v>22</v>
      </c>
      <c r="S49" s="160">
        <f>SUM(S43:S48)</f>
        <v>19</v>
      </c>
      <c r="U49" s="160">
        <f>SUM(U43:U48)</f>
        <v>20</v>
      </c>
      <c r="W49" s="160">
        <f>SUM(W43:W48)</f>
        <v>0</v>
      </c>
      <c r="Y49" s="206">
        <f>SUBTOTAL(9,C49:S49)</f>
        <v>162</v>
      </c>
      <c r="Z49" s="206">
        <f>SUBTOTAL(9,D49:T49)</f>
        <v>144</v>
      </c>
      <c r="AA49" s="207">
        <f>SUM(AA43:AA48)</f>
        <v>364</v>
      </c>
      <c r="AB49" s="160"/>
      <c r="AC49" s="161"/>
      <c r="AJ49" s="194"/>
      <c r="AK49" s="194"/>
      <c r="AL49" s="194"/>
    </row>
    <row r="50" spans="1:38" x14ac:dyDescent="0.3">
      <c r="AB50" s="160"/>
      <c r="AC50" s="161"/>
    </row>
    <row r="51" spans="1:38" ht="14.4" x14ac:dyDescent="0.3">
      <c r="A51" s="276" t="str">
        <f>A44</f>
        <v>Wtorek</v>
      </c>
      <c r="B51" s="160" t="s">
        <v>217</v>
      </c>
      <c r="E51" s="160">
        <v>3</v>
      </c>
      <c r="G51" s="160">
        <v>2</v>
      </c>
      <c r="I51" s="160">
        <v>1</v>
      </c>
      <c r="K51" s="160">
        <v>2</v>
      </c>
      <c r="M51" s="160">
        <v>2</v>
      </c>
      <c r="O51" s="160">
        <v>2</v>
      </c>
      <c r="Q51" s="160">
        <v>2</v>
      </c>
      <c r="S51" s="160">
        <v>2</v>
      </c>
      <c r="U51" s="160">
        <v>2</v>
      </c>
      <c r="W51" s="160">
        <v>2</v>
      </c>
      <c r="Y51" s="203">
        <f>SUBTOTAL(9,C51:W51)</f>
        <v>20</v>
      </c>
      <c r="Z51" s="203">
        <f>SUBTOTAL(9,D51:X51)</f>
        <v>20</v>
      </c>
      <c r="AA51" s="204">
        <f>(C51+E51+G51+I51+K51+M51+O51+Q51+S51+U51+W51)*1.5</f>
        <v>30</v>
      </c>
      <c r="AB51" s="160"/>
      <c r="AC51" s="161"/>
    </row>
    <row r="52" spans="1:38" ht="14.4" x14ac:dyDescent="0.3">
      <c r="A52" s="276"/>
      <c r="B52" s="208" t="s">
        <v>218</v>
      </c>
      <c r="C52" s="208"/>
      <c r="E52" s="208">
        <v>2</v>
      </c>
      <c r="G52" s="208">
        <v>2</v>
      </c>
      <c r="I52" s="208">
        <v>2</v>
      </c>
      <c r="K52" s="208">
        <v>2</v>
      </c>
      <c r="M52" s="208">
        <v>2</v>
      </c>
      <c r="O52" s="208">
        <v>2</v>
      </c>
      <c r="Q52" s="208">
        <v>2</v>
      </c>
      <c r="S52" s="208">
        <v>2</v>
      </c>
      <c r="U52" s="208">
        <v>2</v>
      </c>
      <c r="W52" s="208">
        <v>2</v>
      </c>
      <c r="Y52" s="209">
        <f>SUBTOTAL(9,C52:W52)</f>
        <v>20</v>
      </c>
      <c r="Z52" s="209">
        <f>SUBTOTAL(9,D52:X52)</f>
        <v>20</v>
      </c>
      <c r="AA52" s="210">
        <f>(C52+E52+G52+I52+K52+M52+O52+Q52+S52+U52+W52)*1.5</f>
        <v>30</v>
      </c>
      <c r="AB52" s="160"/>
      <c r="AC52" s="161"/>
    </row>
    <row r="53" spans="1:38" x14ac:dyDescent="0.3">
      <c r="Y53" s="277" t="s">
        <v>219</v>
      </c>
      <c r="Z53" s="277" t="s">
        <v>220</v>
      </c>
      <c r="AA53" s="277" t="s">
        <v>221</v>
      </c>
      <c r="AC53" s="161"/>
      <c r="AI53" s="194"/>
      <c r="AJ53" s="194"/>
      <c r="AK53" s="194"/>
    </row>
    <row r="54" spans="1:38" x14ac:dyDescent="0.3">
      <c r="Y54" s="277"/>
      <c r="Z54" s="277"/>
      <c r="AA54" s="277"/>
    </row>
    <row r="55" spans="1:38" x14ac:dyDescent="0.3">
      <c r="Y55" s="277"/>
      <c r="Z55" s="277"/>
      <c r="AA55" s="277"/>
    </row>
    <row r="56" spans="1:38" x14ac:dyDescent="0.3">
      <c r="A56" s="211">
        <v>45473</v>
      </c>
      <c r="B56" s="211">
        <f t="shared" ref="B56:B70" si="14">A56-DAY(A56-1)</f>
        <v>45444</v>
      </c>
      <c r="Y56" s="277"/>
      <c r="Z56" s="277"/>
      <c r="AA56" s="277"/>
    </row>
    <row r="57" spans="1:38" x14ac:dyDescent="0.3">
      <c r="A57" s="211">
        <v>45504</v>
      </c>
      <c r="B57" s="211">
        <f t="shared" si="14"/>
        <v>45474</v>
      </c>
      <c r="Y57" s="277"/>
      <c r="Z57" s="277"/>
      <c r="AA57" s="277"/>
      <c r="AI57" s="194"/>
      <c r="AJ57" s="194"/>
      <c r="AK57" s="194"/>
    </row>
    <row r="58" spans="1:38" x14ac:dyDescent="0.3">
      <c r="A58" s="211">
        <v>45535</v>
      </c>
      <c r="B58" s="211">
        <f t="shared" si="14"/>
        <v>45505</v>
      </c>
      <c r="Y58" s="277"/>
      <c r="Z58" s="277"/>
      <c r="AA58" s="277"/>
    </row>
    <row r="59" spans="1:38" x14ac:dyDescent="0.3">
      <c r="A59" s="211">
        <v>45565</v>
      </c>
      <c r="B59" s="211">
        <f t="shared" si="14"/>
        <v>45536</v>
      </c>
    </row>
    <row r="60" spans="1:38" x14ac:dyDescent="0.3">
      <c r="A60" s="211">
        <v>45596</v>
      </c>
      <c r="B60" s="211">
        <f t="shared" si="14"/>
        <v>45566</v>
      </c>
    </row>
    <row r="61" spans="1:38" x14ac:dyDescent="0.3">
      <c r="A61" s="211">
        <v>45626</v>
      </c>
      <c r="B61" s="211">
        <f t="shared" si="14"/>
        <v>45597</v>
      </c>
    </row>
    <row r="62" spans="1:38" x14ac:dyDescent="0.3">
      <c r="A62" s="211">
        <v>45657</v>
      </c>
      <c r="B62" s="211">
        <f t="shared" si="14"/>
        <v>45627</v>
      </c>
    </row>
    <row r="63" spans="1:38" x14ac:dyDescent="0.3">
      <c r="A63" s="211">
        <v>45688</v>
      </c>
      <c r="B63" s="211">
        <f t="shared" si="14"/>
        <v>45658</v>
      </c>
    </row>
    <row r="64" spans="1:38" x14ac:dyDescent="0.3">
      <c r="A64" s="211">
        <v>45716</v>
      </c>
      <c r="B64" s="211">
        <f t="shared" si="14"/>
        <v>45689</v>
      </c>
    </row>
    <row r="65" spans="1:2" x14ac:dyDescent="0.3">
      <c r="A65" s="211">
        <v>45747</v>
      </c>
      <c r="B65" s="211">
        <f t="shared" si="14"/>
        <v>45717</v>
      </c>
    </row>
    <row r="66" spans="1:2" x14ac:dyDescent="0.3">
      <c r="A66" s="211">
        <v>45777</v>
      </c>
      <c r="B66" s="211">
        <f t="shared" si="14"/>
        <v>45748</v>
      </c>
    </row>
    <row r="67" spans="1:2" x14ac:dyDescent="0.3">
      <c r="A67" s="211">
        <v>45808</v>
      </c>
      <c r="B67" s="211">
        <f t="shared" si="14"/>
        <v>45778</v>
      </c>
    </row>
    <row r="68" spans="1:2" x14ac:dyDescent="0.3">
      <c r="A68" s="211">
        <v>45838</v>
      </c>
      <c r="B68" s="211">
        <f t="shared" si="14"/>
        <v>45809</v>
      </c>
    </row>
    <row r="69" spans="1:2" x14ac:dyDescent="0.3">
      <c r="A69" s="211">
        <v>45869</v>
      </c>
      <c r="B69" s="211">
        <f t="shared" si="14"/>
        <v>45839</v>
      </c>
    </row>
    <row r="70" spans="1:2" x14ac:dyDescent="0.3">
      <c r="A70" s="211">
        <v>45900</v>
      </c>
      <c r="B70" s="211">
        <f t="shared" si="14"/>
        <v>45870</v>
      </c>
    </row>
  </sheetData>
  <autoFilter ref="A1:S48" xr:uid="{4FC48BF0-BEB1-4116-A170-53997F040C6A}">
    <filterColumn colId="1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</autoFilter>
  <mergeCells count="21">
    <mergeCell ref="Z53:Z58"/>
    <mergeCell ref="AA53:AA58"/>
    <mergeCell ref="M22:M35"/>
    <mergeCell ref="O32:O37"/>
    <mergeCell ref="A51:A52"/>
    <mergeCell ref="Y53:Y58"/>
    <mergeCell ref="N1:O1"/>
    <mergeCell ref="P1:Q1"/>
    <mergeCell ref="R1:S1"/>
    <mergeCell ref="T1:U1"/>
    <mergeCell ref="V1:W1"/>
    <mergeCell ref="S6:S8"/>
    <mergeCell ref="I24:I32"/>
    <mergeCell ref="K8:K9"/>
    <mergeCell ref="AB4:AC4"/>
    <mergeCell ref="B1:C1"/>
    <mergeCell ref="D1:E1"/>
    <mergeCell ref="F1:G1"/>
    <mergeCell ref="H1:I1"/>
    <mergeCell ref="J1:K1"/>
    <mergeCell ref="L1:M1"/>
  </mergeCells>
  <phoneticPr fontId="24" type="noConversion"/>
  <pageMargins left="0.39370078740157483" right="0.55118110236220474" top="0.70866141732283472" bottom="0.27559055118110237" header="0.11811023622047245" footer="0.19685039370078741"/>
  <pageSetup paperSize="9" scale="63" orientation="landscape" r:id="rId1"/>
  <headerFooter>
    <oddHeader>&amp;CGREGOR ACADEMY - Zajęcia na kursach w roku szkolnym 2025/2026
15 września 2025 r. do 31 maja 2026 r.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5A66-39A0-4EFF-ABA5-BEABC035FA3A}">
  <sheetPr codeName="Arkusz6"/>
  <dimension ref="A1:AP302"/>
  <sheetViews>
    <sheetView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AP3" sqref="AP3"/>
    </sheetView>
  </sheetViews>
  <sheetFormatPr defaultColWidth="9.109375" defaultRowHeight="10.199999999999999" x14ac:dyDescent="0.2"/>
  <cols>
    <col min="1" max="1" width="3.6640625" style="4" customWidth="1"/>
    <col min="2" max="2" width="15.109375" style="4" bestFit="1" customWidth="1"/>
    <col min="3" max="3" width="13.6640625" style="44" customWidth="1"/>
    <col min="4" max="4" width="23.33203125" style="4" customWidth="1"/>
    <col min="5" max="5" width="13.33203125" style="4" customWidth="1"/>
    <col min="6" max="6" width="10.44140625" style="4" bestFit="1" customWidth="1"/>
    <col min="7" max="7" width="12.6640625" style="4" customWidth="1"/>
    <col min="8" max="8" width="18.88671875" style="4" bestFit="1" customWidth="1"/>
    <col min="9" max="9" width="11.88671875" style="213" bestFit="1" customWidth="1"/>
    <col min="10" max="10" width="4.109375" style="4" customWidth="1"/>
    <col min="11" max="11" width="11.6640625" style="4" customWidth="1"/>
    <col min="12" max="12" width="4.5546875" style="4" customWidth="1"/>
    <col min="13" max="14" width="10.5546875" style="4" customWidth="1"/>
    <col min="15" max="15" width="6.44140625" style="4" customWidth="1"/>
    <col min="16" max="16" width="7.88671875" style="4" customWidth="1"/>
    <col min="17" max="17" width="4.109375" style="4" customWidth="1"/>
    <col min="18" max="18" width="6.44140625" style="4" customWidth="1"/>
    <col min="19" max="19" width="4.109375" style="4" customWidth="1"/>
    <col min="20" max="20" width="6.88671875" style="4" customWidth="1"/>
    <col min="21" max="21" width="7.44140625" style="4" customWidth="1"/>
    <col min="22" max="22" width="6.109375" style="4" customWidth="1"/>
    <col min="23" max="23" width="11.6640625" style="4" customWidth="1"/>
    <col min="24" max="24" width="10.5546875" style="4" customWidth="1"/>
    <col min="25" max="25" width="5.88671875" style="4" customWidth="1"/>
    <col min="26" max="31" width="6" style="4" customWidth="1"/>
    <col min="32" max="34" width="9.109375" style="4" customWidth="1"/>
    <col min="35" max="36" width="9.109375" style="4"/>
    <col min="37" max="37" width="19.44140625" style="4" customWidth="1"/>
    <col min="38" max="38" width="10.44140625" style="4" bestFit="1" customWidth="1"/>
    <col min="39" max="16384" width="9.109375" style="4"/>
  </cols>
  <sheetData>
    <row r="1" spans="1:42" x14ac:dyDescent="0.2">
      <c r="A1" s="4" t="s">
        <v>223</v>
      </c>
      <c r="B1" s="4" t="s">
        <v>164</v>
      </c>
      <c r="C1" s="44" t="s">
        <v>22</v>
      </c>
      <c r="D1" s="212" t="s">
        <v>24</v>
      </c>
      <c r="E1" s="4" t="s">
        <v>224</v>
      </c>
      <c r="F1" s="4" t="s">
        <v>225</v>
      </c>
      <c r="G1" s="4" t="s">
        <v>226</v>
      </c>
      <c r="H1" s="4" t="s">
        <v>227</v>
      </c>
      <c r="I1" s="213" t="s">
        <v>228</v>
      </c>
      <c r="J1" s="4" t="s">
        <v>229</v>
      </c>
      <c r="K1" s="4" t="s">
        <v>230</v>
      </c>
      <c r="L1" s="4" t="s">
        <v>231</v>
      </c>
      <c r="M1" s="4" t="s">
        <v>232</v>
      </c>
      <c r="N1" s="4" t="s">
        <v>233</v>
      </c>
      <c r="O1" s="4" t="s">
        <v>234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239</v>
      </c>
      <c r="U1" s="4" t="s">
        <v>240</v>
      </c>
      <c r="V1" s="4" t="s">
        <v>241</v>
      </c>
      <c r="W1" s="4">
        <v>0</v>
      </c>
      <c r="X1" s="4">
        <v>0</v>
      </c>
      <c r="Y1" s="4">
        <v>0</v>
      </c>
      <c r="Z1" s="4">
        <v>0</v>
      </c>
      <c r="AA1" s="4">
        <v>0</v>
      </c>
      <c r="AB1" s="4">
        <v>0</v>
      </c>
      <c r="AC1" s="4">
        <v>0</v>
      </c>
      <c r="AD1" s="4">
        <v>0</v>
      </c>
      <c r="AE1" s="4">
        <v>0</v>
      </c>
      <c r="AG1" s="4" t="s">
        <v>242</v>
      </c>
      <c r="AI1" s="4" t="s">
        <v>22</v>
      </c>
      <c r="AJ1" s="4" t="s">
        <v>24</v>
      </c>
      <c r="AK1" s="4" t="s">
        <v>224</v>
      </c>
      <c r="AL1" s="4" t="s">
        <v>225</v>
      </c>
      <c r="AM1" s="4" t="s">
        <v>226</v>
      </c>
      <c r="AN1" s="4" t="s">
        <v>227</v>
      </c>
    </row>
    <row r="2" spans="1:42" x14ac:dyDescent="0.2">
      <c r="A2" s="214">
        <v>1</v>
      </c>
      <c r="B2" s="214">
        <v>2</v>
      </c>
      <c r="C2" s="214">
        <v>3</v>
      </c>
      <c r="D2" s="214">
        <v>4</v>
      </c>
      <c r="E2" s="214">
        <v>5</v>
      </c>
      <c r="F2" s="214">
        <v>6</v>
      </c>
      <c r="G2" s="214">
        <v>7</v>
      </c>
      <c r="H2" s="214">
        <v>8</v>
      </c>
      <c r="I2" s="214">
        <v>9</v>
      </c>
      <c r="J2" s="214">
        <v>10</v>
      </c>
      <c r="K2" s="214">
        <v>11</v>
      </c>
      <c r="L2" s="214">
        <v>12</v>
      </c>
      <c r="M2" s="214">
        <v>13</v>
      </c>
      <c r="N2" s="214">
        <v>14</v>
      </c>
      <c r="O2" s="214">
        <v>15</v>
      </c>
      <c r="P2" s="214">
        <v>16</v>
      </c>
      <c r="Q2" s="214">
        <v>17</v>
      </c>
      <c r="R2" s="214">
        <v>18</v>
      </c>
      <c r="S2" s="214">
        <v>19</v>
      </c>
      <c r="T2" s="214">
        <v>20</v>
      </c>
      <c r="U2" s="214">
        <v>21</v>
      </c>
      <c r="V2" s="214">
        <v>22</v>
      </c>
      <c r="W2" s="214">
        <v>23</v>
      </c>
      <c r="X2" s="214">
        <v>24</v>
      </c>
      <c r="Y2" s="214">
        <v>25</v>
      </c>
      <c r="Z2" s="214">
        <v>26</v>
      </c>
      <c r="AA2" s="214">
        <v>27</v>
      </c>
      <c r="AB2" s="214">
        <v>28</v>
      </c>
      <c r="AC2" s="214">
        <v>29</v>
      </c>
      <c r="AD2" s="214">
        <v>30</v>
      </c>
      <c r="AE2" s="214">
        <v>31</v>
      </c>
      <c r="AG2" s="4">
        <v>5</v>
      </c>
      <c r="AI2" s="4">
        <v>3</v>
      </c>
      <c r="AJ2" s="4">
        <v>4</v>
      </c>
      <c r="AK2" s="4">
        <v>5</v>
      </c>
      <c r="AL2" s="4">
        <v>6</v>
      </c>
      <c r="AM2" s="4">
        <v>7</v>
      </c>
      <c r="AN2" s="4">
        <v>8</v>
      </c>
    </row>
    <row r="3" spans="1:42" x14ac:dyDescent="0.2">
      <c r="A3" s="4">
        <v>1</v>
      </c>
      <c r="B3" s="215">
        <f>[2]Arkusz1!B7</f>
        <v>45839.885821759257</v>
      </c>
      <c r="C3" s="44" t="str">
        <f>_xlfn.CONCAT([2]Arkusz1!G7," ",[2]Arkusz1!H7)</f>
        <v>Agnieszka Ringwelska</v>
      </c>
      <c r="D3" s="4" t="str">
        <f>_xlfn.XLOOKUP(H3,[4]Sheet1!$I$2:$I$40,[4]Sheet1!$Y$2:$Y$40,,2,1)</f>
        <v>13-300 Nowe Miasto Lubawskie</v>
      </c>
      <c r="E3" s="4" t="str">
        <f>_xlfn.XLOOKUP(H3,[4]Sheet1!$I$2:$I$40,[4]Sheet1!$K$2:$K$40,,2,1)</f>
        <v>Szkolna 4/4</v>
      </c>
      <c r="F3" s="4">
        <f>_xlfn.XLOOKUP(H3,[4]Sheet1!$I$2:$I$40,[4]Sheet1!$J$2:$J$40,,2,1)</f>
        <v>86011711809</v>
      </c>
      <c r="G3" s="4" t="str">
        <f>[2]Arkusz1!I7</f>
        <v>+48 790 243 827</v>
      </c>
      <c r="H3" s="4" t="str">
        <f>[2]Arkusz1!J7</f>
        <v>a.ringwelska@interia.pl</v>
      </c>
      <c r="I3" s="213" t="str">
        <f>_xlfn.CONCAT([2]Arkusz1!C7," ",[2]Arkusz1!D7)</f>
        <v>Franciszek Zalewski</v>
      </c>
      <c r="J3" s="216">
        <f ca="1">IF(DATEDIF([2]Arkusz1!S7,TODAY(),"Y")&gt;21,0,DATEDIF([2]Arkusz1!S7,TODAY(),"Y"))</f>
        <v>12</v>
      </c>
      <c r="K3" s="4" t="str">
        <f>[2]Arkusz1!T7</f>
        <v>Podstawowa</v>
      </c>
      <c r="L3" s="216">
        <f>[2]Arkusz1!U7</f>
        <v>6</v>
      </c>
      <c r="M3" s="4" t="str">
        <f>[2]Arkusz1!P7</f>
        <v>Język angielski</v>
      </c>
      <c r="N3" s="4">
        <f>[2]Arkusz1!Q7</f>
        <v>0</v>
      </c>
      <c r="O3" s="4" t="str">
        <f>[2]Arkusz1!V7</f>
        <v>Tak (lub kolejny członek rodziny)</v>
      </c>
      <c r="P3" s="4">
        <f t="shared" ref="P3:P66" si="0">COUNTIFS($C$3:$C$302,C3)</f>
        <v>1</v>
      </c>
      <c r="Q3" s="4" t="str">
        <f>[2]Arkusz1!Y7</f>
        <v>043/2025</v>
      </c>
      <c r="R3" s="4" t="s">
        <v>64</v>
      </c>
      <c r="S3" s="4" t="s">
        <v>65</v>
      </c>
      <c r="T3" s="4">
        <f>[2]Arkusz1!AA7</f>
        <v>5</v>
      </c>
      <c r="U3" s="4" t="str">
        <f>IF([2]Arkusz1!O7=[2]Arkusz1!$O$7,"Z",IF([2]Arkusz1!O7=[2]Arkusz1!$O$15,"Ix3",IF([2]Arkusz1!O7=[2]Arkusz1!$O$20,"Ix1","Ix2")))</f>
        <v>Z</v>
      </c>
      <c r="V3" s="4">
        <f>[2]Arkusz1!AM7</f>
        <v>64</v>
      </c>
      <c r="W3" s="4" t="str">
        <f>[2]Arkusz1!AB7</f>
        <v>wrzesień 2025</v>
      </c>
      <c r="X3" s="4" t="str">
        <f>_xlfn.TEXTBEFORE([2]Arkusz1!AC7," (")</f>
        <v>maj 2026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I3" s="217" t="s">
        <v>154</v>
      </c>
      <c r="AJ3" s="217" t="s">
        <v>243</v>
      </c>
      <c r="AK3" s="217" t="s">
        <v>244</v>
      </c>
      <c r="AL3" s="217">
        <v>86011711809</v>
      </c>
      <c r="AM3" s="217" t="s">
        <v>245</v>
      </c>
      <c r="AN3" s="217" t="s">
        <v>246</v>
      </c>
      <c r="AO3" s="217"/>
      <c r="AP3" s="4" t="str">
        <f>[1]Hist!$X6</f>
        <v>WRÓBEL MAŁGORZATA</v>
      </c>
    </row>
    <row r="4" spans="1:42" x14ac:dyDescent="0.2">
      <c r="A4" s="218">
        <v>2</v>
      </c>
      <c r="B4" s="215">
        <f>[2]Arkusz1!B8</f>
        <v>45839.888518518521</v>
      </c>
      <c r="C4" s="44" t="str">
        <f>_xlfn.CONCAT([2]Arkusz1!G8," ",[2]Arkusz1!H8)</f>
        <v>Sylwia Kozłowska</v>
      </c>
      <c r="D4" s="4" t="str">
        <f>_xlfn.XLOOKUP(H4,[4]Sheet1!$I$2:$I$40,[4]Sheet1!$Y$2:$Y$40,,2,1)</f>
        <v>14-200 Iława</v>
      </c>
      <c r="E4" s="4" t="str">
        <f>_xlfn.XLOOKUP(H4,[4]Sheet1!$I$2:$I$40,[4]Sheet1!$K$2:$K$40,,2,1)</f>
        <v>Jagiellończyka 16A/20</v>
      </c>
      <c r="F4" s="4">
        <f>_xlfn.XLOOKUP(H4,[4]Sheet1!$I$2:$I$40,[4]Sheet1!$J$2:$J$40,,2,1)</f>
        <v>86072205480</v>
      </c>
      <c r="G4" s="4" t="str">
        <f>[2]Arkusz1!I8</f>
        <v>+48 697 715 972</v>
      </c>
      <c r="H4" s="4" t="str">
        <f>[2]Arkusz1!J8</f>
        <v>sylwia.warszawa@poczta.onet.pl</v>
      </c>
      <c r="I4" s="213" t="str">
        <f>_xlfn.CONCAT([2]Arkusz1!C8," ",[2]Arkusz1!D8)</f>
        <v>Alicja Kozłowska</v>
      </c>
      <c r="J4" s="216">
        <f ca="1">IF(DATEDIF([2]Arkusz1!S8,TODAY(),"Y")&gt;21,0,DATEDIF([2]Arkusz1!S8,TODAY(),"Y"))</f>
        <v>12</v>
      </c>
      <c r="K4" s="4" t="str">
        <f>[2]Arkusz1!T8</f>
        <v>Podstawowa</v>
      </c>
      <c r="L4" s="216">
        <f>[2]Arkusz1!U8</f>
        <v>6</v>
      </c>
      <c r="M4" s="4" t="str">
        <f>[2]Arkusz1!P8</f>
        <v>Język angielski</v>
      </c>
      <c r="N4" s="4">
        <f>[2]Arkusz1!Q8</f>
        <v>0</v>
      </c>
      <c r="O4" s="4" t="str">
        <f>[2]Arkusz1!V8</f>
        <v>Tak (lub kolejny członek rodziny)</v>
      </c>
      <c r="P4" s="4">
        <f t="shared" si="0"/>
        <v>2</v>
      </c>
      <c r="Q4" s="4" t="str">
        <f>[2]Arkusz1!Y8</f>
        <v>025/2025</v>
      </c>
      <c r="R4" s="4" t="s">
        <v>64</v>
      </c>
      <c r="S4" s="4" t="s">
        <v>65</v>
      </c>
      <c r="T4" s="4">
        <f>[2]Arkusz1!AA8</f>
        <v>5</v>
      </c>
      <c r="U4" s="4" t="str">
        <f>IF([2]Arkusz1!O8=[2]Arkusz1!$O$7,"Z",IF([2]Arkusz1!O8=[2]Arkusz1!$O$15,"Ix3",IF([2]Arkusz1!O8=[2]Arkusz1!$O$20,"Ix1","Ix2")))</f>
        <v>Z</v>
      </c>
      <c r="V4" s="4">
        <f>[2]Arkusz1!AM8</f>
        <v>64</v>
      </c>
      <c r="W4" s="4" t="str">
        <f>[2]Arkusz1!AB8</f>
        <v>wrzesień 2025</v>
      </c>
      <c r="X4" s="4" t="str">
        <f>[2]Arkusz1!AC8</f>
        <v>czerwiec 2026</v>
      </c>
      <c r="Y4" s="218">
        <v>0</v>
      </c>
      <c r="Z4" s="218">
        <v>0</v>
      </c>
      <c r="AA4" s="218">
        <v>0</v>
      </c>
      <c r="AB4" s="218">
        <v>0</v>
      </c>
      <c r="AC4" s="218">
        <v>0</v>
      </c>
      <c r="AD4" s="218">
        <v>0</v>
      </c>
      <c r="AE4" s="218">
        <v>0</v>
      </c>
      <c r="AI4" s="4" t="s">
        <v>247</v>
      </c>
      <c r="AJ4" s="4" t="s">
        <v>248</v>
      </c>
      <c r="AK4" s="4" t="s">
        <v>249</v>
      </c>
      <c r="AL4" s="4">
        <v>86072205480</v>
      </c>
      <c r="AM4" s="4" t="s">
        <v>250</v>
      </c>
      <c r="AN4" s="4" t="s">
        <v>251</v>
      </c>
      <c r="AP4" s="4" t="str">
        <f>[1]Hist!$X14</f>
        <v>GABINET PSYCHOTERAPII UZALEŻNIEŃ I WSPÓŁUZALEŻNIENIA EWA KACPERSKA</v>
      </c>
    </row>
    <row r="5" spans="1:42" x14ac:dyDescent="0.2">
      <c r="A5" s="4">
        <v>3</v>
      </c>
      <c r="B5" s="215">
        <f>[2]Arkusz1!B9</f>
        <v>45839.891701388886</v>
      </c>
      <c r="C5" s="44" t="str">
        <f>_xlfn.CONCAT([2]Arkusz1!G9," ",[2]Arkusz1!H9)</f>
        <v>Sylwia Kozłowska</v>
      </c>
      <c r="D5" s="4" t="str">
        <f>_xlfn.XLOOKUP(H5,[4]Sheet1!$I$2:$I$40,[4]Sheet1!$Y$2:$Y$40,,2,1)</f>
        <v>14-200 Iława</v>
      </c>
      <c r="E5" s="4" t="str">
        <f>_xlfn.XLOOKUP(H5,[4]Sheet1!$I$2:$I$40,[4]Sheet1!$K$2:$K$40,,2,1)</f>
        <v>Jagiellończyka 16A/20</v>
      </c>
      <c r="F5" s="218">
        <f>_xlfn.XLOOKUP(H5,[4]Sheet1!$I$2:$I$40,[4]Sheet1!$J$2:$J$40,,2,1)</f>
        <v>86072205480</v>
      </c>
      <c r="G5" s="4" t="str">
        <f>[2]Arkusz1!I9</f>
        <v>+48 697 715 972</v>
      </c>
      <c r="H5" s="4" t="str">
        <f>[2]Arkusz1!J9</f>
        <v>sylwia.warszawa@poczta.onet.pl</v>
      </c>
      <c r="I5" s="213" t="str">
        <f>_xlfn.CONCAT([2]Arkusz1!C9," ",[2]Arkusz1!D9)</f>
        <v>Wojciech Adrian Kozłowski</v>
      </c>
      <c r="J5" s="216">
        <f ca="1">IF(DATEDIF([2]Arkusz1!S9,TODAY(),"Y")&gt;21,0,DATEDIF([2]Arkusz1!S9,TODAY(),"Y"))</f>
        <v>9</v>
      </c>
      <c r="K5" s="4" t="str">
        <f>[2]Arkusz1!T9</f>
        <v>Podstawowa</v>
      </c>
      <c r="L5" s="216">
        <f>[2]Arkusz1!U9</f>
        <v>2</v>
      </c>
      <c r="M5" s="4" t="str">
        <f>[2]Arkusz1!P9</f>
        <v>Język angielski</v>
      </c>
      <c r="N5" s="4">
        <f>[2]Arkusz1!Q9</f>
        <v>0</v>
      </c>
      <c r="O5" s="4" t="str">
        <f>[2]Arkusz1!V9</f>
        <v>Tak (lub kolejny członek rodziny)</v>
      </c>
      <c r="P5" s="4">
        <f t="shared" si="0"/>
        <v>2</v>
      </c>
      <c r="Q5" s="4">
        <f>[2]Arkusz1!Y9</f>
        <v>0</v>
      </c>
      <c r="R5" s="4" t="s">
        <v>64</v>
      </c>
      <c r="S5" s="4" t="s">
        <v>65</v>
      </c>
      <c r="T5" s="4">
        <f>[2]Arkusz1!AA9</f>
        <v>5</v>
      </c>
      <c r="U5" s="4" t="str">
        <f>IF([2]Arkusz1!O9=[2]Arkusz1!$O$7,"Z",IF([2]Arkusz1!O9=[2]Arkusz1!$O$15,"Ix3",IF([2]Arkusz1!O9=[2]Arkusz1!$O$20,"Ix1","Ix2")))</f>
        <v>Z</v>
      </c>
      <c r="V5" s="4">
        <f>[2]Arkusz1!AM9</f>
        <v>64</v>
      </c>
      <c r="W5" s="4" t="str">
        <f>[2]Arkusz1!AB9</f>
        <v>wrzesień 2025</v>
      </c>
      <c r="X5" s="4" t="str">
        <f>[2]Arkusz1!AC9</f>
        <v>czerwiec 2026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I5" s="4" t="s">
        <v>247</v>
      </c>
      <c r="AJ5" s="4" t="s">
        <v>248</v>
      </c>
      <c r="AK5" s="4" t="s">
        <v>249</v>
      </c>
      <c r="AL5" s="4">
        <v>86072205480</v>
      </c>
      <c r="AM5" s="4" t="s">
        <v>250</v>
      </c>
      <c r="AN5" s="4" t="s">
        <v>251</v>
      </c>
      <c r="AP5" s="4" t="str">
        <f>[1]Hist!$X15</f>
        <v xml:space="preserve">KOCHANOWSKA IWONA </v>
      </c>
    </row>
    <row r="6" spans="1:42" x14ac:dyDescent="0.2">
      <c r="A6" s="4">
        <v>4</v>
      </c>
      <c r="B6" s="215">
        <f>[2]Arkusz1!B10</f>
        <v>45839.899965277778</v>
      </c>
      <c r="C6" s="44" t="str">
        <f>_xlfn.CONCAT([2]Arkusz1!G10," ",[2]Arkusz1!H10)</f>
        <v>Joanna Rosińska</v>
      </c>
      <c r="D6" s="4" t="str">
        <f>_xlfn.XLOOKUP(H6,[4]Sheet1!$I$2:$I$40,[4]Sheet1!$Y$2:$Y$40,,2,1)</f>
        <v xml:space="preserve">13-300 Nowe Miasto Lubawskie </v>
      </c>
      <c r="E6" s="4" t="str">
        <f>_xlfn.XLOOKUP(H6,[4]Sheet1!$I$2:$I$40,[4]Sheet1!$K$2:$K$40,,2,1)</f>
        <v>Jagiellońska 34/3</v>
      </c>
      <c r="F6" s="218">
        <f>_xlfn.XLOOKUP(H6,[4]Sheet1!$I$2:$I$40,[4]Sheet1!$J$2:$J$40,,2,1)</f>
        <v>85031011287</v>
      </c>
      <c r="G6" s="4" t="str">
        <f>[2]Arkusz1!I10</f>
        <v>+48 693 657 335</v>
      </c>
      <c r="H6" s="4" t="str">
        <f>[2]Arkusz1!J10</f>
        <v>joannapiendak@gmail.com</v>
      </c>
      <c r="I6" s="213" t="str">
        <f>_xlfn.CONCAT([2]Arkusz1!C10," ",[2]Arkusz1!D10)</f>
        <v>Julia Rosińska</v>
      </c>
      <c r="J6" s="216">
        <f ca="1">IF(DATEDIF([2]Arkusz1!S10,TODAY(),"Y")&gt;21,0,DATEDIF([2]Arkusz1!S10,TODAY(),"Y"))</f>
        <v>10</v>
      </c>
      <c r="K6" s="4" t="str">
        <f>[2]Arkusz1!T10</f>
        <v>Podstawowa</v>
      </c>
      <c r="L6" s="216">
        <f>[2]Arkusz1!U10</f>
        <v>3</v>
      </c>
      <c r="M6" s="4" t="str">
        <f>[2]Arkusz1!P10</f>
        <v>Język angielski</v>
      </c>
      <c r="N6" s="4">
        <f>[2]Arkusz1!Q10</f>
        <v>0</v>
      </c>
      <c r="O6" s="4" t="str">
        <f>[2]Arkusz1!V10</f>
        <v>Tak (lub kolejny członek rodziny)</v>
      </c>
      <c r="P6" s="4">
        <f t="shared" si="0"/>
        <v>1</v>
      </c>
      <c r="Q6" s="4" t="str">
        <f>[2]Arkusz1!Y10</f>
        <v>005/2025</v>
      </c>
      <c r="R6" s="4" t="s">
        <v>64</v>
      </c>
      <c r="S6" s="4" t="s">
        <v>65</v>
      </c>
      <c r="T6" s="4">
        <f>[2]Arkusz1!AA10</f>
        <v>25</v>
      </c>
      <c r="U6" s="4" t="str">
        <f>IF([2]Arkusz1!O10=[2]Arkusz1!$O$7,"Z",IF([2]Arkusz1!O10=[2]Arkusz1!$O$15,"Ix3",IF([2]Arkusz1!O10=[2]Arkusz1!$O$20,"Ix1","Ix2")))</f>
        <v>Z</v>
      </c>
      <c r="V6" s="4">
        <f>[2]Arkusz1!AM10</f>
        <v>64</v>
      </c>
      <c r="W6" s="4" t="str">
        <f>[2]Arkusz1!AB10</f>
        <v>wrzesień 2025</v>
      </c>
      <c r="X6" s="4" t="str">
        <f>_xlfn.TEXTBEFORE([2]Arkusz1!AC10," (")</f>
        <v>maj 2026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I6" s="4" t="s">
        <v>252</v>
      </c>
      <c r="AJ6" s="4" t="s">
        <v>253</v>
      </c>
      <c r="AK6" s="4" t="s">
        <v>254</v>
      </c>
      <c r="AL6" s="4">
        <v>85031011287</v>
      </c>
      <c r="AM6" s="4" t="s">
        <v>255</v>
      </c>
      <c r="AN6" s="4" t="s">
        <v>256</v>
      </c>
      <c r="AP6" s="4" t="str">
        <f>[1]Hist!$X16</f>
        <v xml:space="preserve">WALDEMAR KLIMIK </v>
      </c>
    </row>
    <row r="7" spans="1:42" x14ac:dyDescent="0.2">
      <c r="A7" s="4">
        <v>5</v>
      </c>
      <c r="B7" s="215">
        <f>[2]Arkusz1!B11</f>
        <v>45840.524641203701</v>
      </c>
      <c r="C7" s="44" t="str">
        <f>_xlfn.CONCAT([2]Arkusz1!G11," ",[2]Arkusz1!H11)</f>
        <v>Barbara Pawłowska</v>
      </c>
      <c r="D7" s="4" t="str">
        <f>_xlfn.XLOOKUP(H7,[4]Sheet1!$I$2:$I$40,[4]Sheet1!$Y$2:$Y$40,,2,1)</f>
        <v xml:space="preserve">14-200 Iława </v>
      </c>
      <c r="E7" s="4" t="str">
        <f>_xlfn.XLOOKUP(H7,[4]Sheet1!$I$2:$I$40,[4]Sheet1!$K$2:$K$40,,2,1)</f>
        <v>Porzeczkowa 3</v>
      </c>
      <c r="F7" s="218">
        <f>_xlfn.XLOOKUP(H7,[4]Sheet1!$I$2:$I$40,[4]Sheet1!$J$2:$J$40,,2,1)</f>
        <v>99121300405</v>
      </c>
      <c r="G7" s="4" t="str">
        <f>[2]Arkusz1!I11</f>
        <v>+48 690 692 232</v>
      </c>
      <c r="H7" s="4" t="str">
        <f>[2]Arkusz1!J11</f>
        <v>barbara.pawlowska1999@gmail.com</v>
      </c>
      <c r="I7" s="213" t="str">
        <f>_xlfn.CONCAT([2]Arkusz1!C11," ",[2]Arkusz1!D11)</f>
        <v>Laila Kosmala</v>
      </c>
      <c r="J7" s="216">
        <f ca="1">IF(DATEDIF([2]Arkusz1!S11,TODAY(),"Y")&gt;21,0,DATEDIF([2]Arkusz1!S11,TODAY(),"Y"))</f>
        <v>7</v>
      </c>
      <c r="K7" s="4" t="str">
        <f>[2]Arkusz1!T11</f>
        <v>Podstawowa</v>
      </c>
      <c r="L7" s="216">
        <f>[2]Arkusz1!U11</f>
        <v>1</v>
      </c>
      <c r="M7" s="4" t="str">
        <f>[2]Arkusz1!P11</f>
        <v>Język angielski</v>
      </c>
      <c r="N7" s="4">
        <f>[2]Arkusz1!Q11</f>
        <v>0</v>
      </c>
      <c r="O7" s="4" t="str">
        <f>[2]Arkusz1!V11</f>
        <v>Nie</v>
      </c>
      <c r="P7" s="4">
        <f t="shared" si="0"/>
        <v>1</v>
      </c>
      <c r="Q7" s="4">
        <f>[2]Arkusz1!Y11</f>
        <v>0</v>
      </c>
      <c r="R7" s="4" t="s">
        <v>64</v>
      </c>
      <c r="S7" s="4" t="s">
        <v>65</v>
      </c>
      <c r="T7" s="4">
        <f>[2]Arkusz1!AA11</f>
        <v>15</v>
      </c>
      <c r="U7" s="4" t="str">
        <f>IF([2]Arkusz1!O11=[2]Arkusz1!$O$7,"Z",IF([2]Arkusz1!O11=[2]Arkusz1!$O$15,"Ix3",IF([2]Arkusz1!O11=[2]Arkusz1!$O$20,"Ix1","Ix2")))</f>
        <v>Z</v>
      </c>
      <c r="V7" s="4">
        <f>[2]Arkusz1!AM11</f>
        <v>64</v>
      </c>
      <c r="W7" s="4" t="str">
        <f>[2]Arkusz1!AB11</f>
        <v>sierpień 2025</v>
      </c>
      <c r="X7" s="4" t="str">
        <f>_xlfn.TEXTBEFORE([2]Arkusz1!AC11," (")</f>
        <v>maj 2026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I7" s="4" t="s">
        <v>257</v>
      </c>
      <c r="AJ7" s="4" t="s">
        <v>258</v>
      </c>
      <c r="AK7" s="4" t="s">
        <v>259</v>
      </c>
      <c r="AL7" s="4">
        <v>99121300405</v>
      </c>
      <c r="AM7" s="4" t="s">
        <v>260</v>
      </c>
      <c r="AN7" s="4" t="s">
        <v>261</v>
      </c>
      <c r="AP7" s="4" t="str">
        <f>[1]Hist!$X17</f>
        <v>ANIMEX FOODS SP. Z O.O. CHALUBINSKIEGO 8</v>
      </c>
    </row>
    <row r="8" spans="1:42" x14ac:dyDescent="0.2">
      <c r="A8" s="4">
        <v>6</v>
      </c>
      <c r="B8" s="215">
        <f>[2]Arkusz1!B12</f>
        <v>45840.549502314818</v>
      </c>
      <c r="C8" s="44" t="str">
        <f>_xlfn.CONCAT([2]Arkusz1!G12," ",[2]Arkusz1!H12)</f>
        <v>Wojciech Roszak</v>
      </c>
      <c r="D8" s="4" t="str">
        <f>_xlfn.XLOOKUP(H8,[4]Sheet1!$I$2:$I$40,[4]Sheet1!$Y$2:$Y$40,,2,1)</f>
        <v>14-200 Iława</v>
      </c>
      <c r="E8" s="4" t="str">
        <f>_xlfn.XLOOKUP(H8,[4]Sheet1!$I$2:$I$40,[4]Sheet1!$K$2:$K$40,,2,1)</f>
        <v>Ogrodowa 9</v>
      </c>
      <c r="F8" s="218">
        <f>_xlfn.XLOOKUP(H8,[4]Sheet1!$I$2:$I$40,[4]Sheet1!$J$2:$J$40,,2,1)</f>
        <v>88021500974</v>
      </c>
      <c r="G8" s="4" t="str">
        <f>[2]Arkusz1!I12</f>
        <v>+48 570 091 001</v>
      </c>
      <c r="H8" s="4" t="str">
        <f>[2]Arkusz1!J12</f>
        <v>wojrosz@gmail.com</v>
      </c>
      <c r="I8" s="213" t="str">
        <f>_xlfn.CONCAT([2]Arkusz1!C12," ",[2]Arkusz1!D12)</f>
        <v>Maksymilian Roszak</v>
      </c>
      <c r="J8" s="216">
        <f ca="1">IF(DATEDIF([2]Arkusz1!S12,TODAY(),"Y")&gt;21,0,DATEDIF([2]Arkusz1!S12,TODAY(),"Y"))</f>
        <v>11</v>
      </c>
      <c r="K8" s="4" t="str">
        <f>[2]Arkusz1!T12</f>
        <v>Podstawowa</v>
      </c>
      <c r="L8" s="216">
        <f>[2]Arkusz1!U12</f>
        <v>5</v>
      </c>
      <c r="M8" s="4" t="str">
        <f>[2]Arkusz1!P12</f>
        <v>Język angielski</v>
      </c>
      <c r="N8" s="4">
        <f>[2]Arkusz1!Q12</f>
        <v>0</v>
      </c>
      <c r="O8" s="4" t="str">
        <f>[2]Arkusz1!V12</f>
        <v>Tak (lub kolejny członek rodziny)</v>
      </c>
      <c r="P8" s="4">
        <f t="shared" si="0"/>
        <v>1</v>
      </c>
      <c r="Q8" s="4" t="str">
        <f>[2]Arkusz1!Y12</f>
        <v>029/2025</v>
      </c>
      <c r="R8" s="4" t="s">
        <v>64</v>
      </c>
      <c r="S8" s="4" t="s">
        <v>65</v>
      </c>
      <c r="T8" s="4">
        <f>[2]Arkusz1!AA12</f>
        <v>25</v>
      </c>
      <c r="U8" s="4" t="str">
        <f>IF([2]Arkusz1!O12=[2]Arkusz1!$O$7,"Z",IF([2]Arkusz1!O12=[2]Arkusz1!$O$15,"Ix3",IF([2]Arkusz1!O12=[2]Arkusz1!$O$20,"Ix1","Ix2")))</f>
        <v>Z</v>
      </c>
      <c r="V8" s="4">
        <f>[2]Arkusz1!AM12</f>
        <v>64</v>
      </c>
      <c r="W8" s="4" t="str">
        <f>[2]Arkusz1!AB12</f>
        <v>wrzesień 2025</v>
      </c>
      <c r="X8" s="4" t="str">
        <f>_xlfn.TEXTBEFORE([2]Arkusz1!AC12," (")</f>
        <v>maj 2026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I8" s="4" t="s">
        <v>262</v>
      </c>
      <c r="AJ8" s="4" t="s">
        <v>248</v>
      </c>
      <c r="AK8" s="4" t="s">
        <v>263</v>
      </c>
      <c r="AL8" s="4">
        <v>88021500974</v>
      </c>
      <c r="AM8" s="4" t="s">
        <v>264</v>
      </c>
      <c r="AN8" s="4" t="s">
        <v>265</v>
      </c>
      <c r="AP8" s="4" t="str">
        <f>[1]Hist!$X18</f>
        <v>JOANNA MAŁGORZATA WIĘCZKOWSKA WYSZYŃSKIEGO 37A M 40</v>
      </c>
    </row>
    <row r="9" spans="1:42" x14ac:dyDescent="0.2">
      <c r="A9" s="4">
        <v>7</v>
      </c>
      <c r="B9" s="215">
        <f>[2]Arkusz1!B13</f>
        <v>45840.580011574071</v>
      </c>
      <c r="C9" s="44" t="str">
        <f>_xlfn.CONCAT([2]Arkusz1!G13," ",[2]Arkusz1!H13)</f>
        <v>Joanna Mielnik</v>
      </c>
      <c r="D9" s="4" t="str">
        <f>_xlfn.XLOOKUP(H9,[4]Sheet1!$I$2:$I$40,[4]Sheet1!$Y$2:$Y$40,,2,1)</f>
        <v>13-300 Nowe Miasto Lubawskie</v>
      </c>
      <c r="E9" s="4" t="str">
        <f>_xlfn.XLOOKUP(H9,[4]Sheet1!$I$2:$I$40,[4]Sheet1!$K$2:$K$40,,2,1)</f>
        <v xml:space="preserve">Kamionki 17i </v>
      </c>
      <c r="F9" s="218">
        <f>_xlfn.XLOOKUP(H9,[4]Sheet1!$I$2:$I$40,[4]Sheet1!$J$2:$J$40,,2,1)</f>
        <v>80110711900</v>
      </c>
      <c r="G9" s="4" t="str">
        <f>[2]Arkusz1!I13</f>
        <v>+48 798 614 471</v>
      </c>
      <c r="H9" s="4" t="str">
        <f>[2]Arkusz1!J13</f>
        <v>mielnik_j@o2.pl</v>
      </c>
      <c r="I9" s="213" t="str">
        <f>_xlfn.CONCAT([2]Arkusz1!C13," ",[2]Arkusz1!D13)</f>
        <v>Anna Mielnik</v>
      </c>
      <c r="J9" s="216">
        <f ca="1">IF(DATEDIF([2]Arkusz1!S13,TODAY(),"Y")&gt;21,0,DATEDIF([2]Arkusz1!S13,TODAY(),"Y"))</f>
        <v>10</v>
      </c>
      <c r="K9" s="4" t="str">
        <f>[2]Arkusz1!T13</f>
        <v>Podstawowa</v>
      </c>
      <c r="L9" s="216">
        <f>[2]Arkusz1!U13</f>
        <v>3</v>
      </c>
      <c r="M9" s="4" t="str">
        <f>[2]Arkusz1!P13</f>
        <v>Język angielski</v>
      </c>
      <c r="N9" s="4">
        <f>[2]Arkusz1!Q13</f>
        <v>0</v>
      </c>
      <c r="O9" s="4" t="str">
        <f>[2]Arkusz1!V13</f>
        <v>Tak (lub kolejny członek rodziny)</v>
      </c>
      <c r="P9" s="4">
        <f t="shared" si="0"/>
        <v>1</v>
      </c>
      <c r="Q9" s="4" t="str">
        <f>[2]Arkusz1!Y13</f>
        <v>004/2025</v>
      </c>
      <c r="R9" s="4" t="s">
        <v>64</v>
      </c>
      <c r="S9" s="4" t="s">
        <v>65</v>
      </c>
      <c r="T9" s="4">
        <f>[2]Arkusz1!AA13</f>
        <v>15</v>
      </c>
      <c r="U9" s="4" t="str">
        <f>IF([2]Arkusz1!O13=[2]Arkusz1!$O$7,"Z",IF([2]Arkusz1!O13=[2]Arkusz1!$O$15,"Ix3",IF([2]Arkusz1!O13=[2]Arkusz1!$O$20,"Ix1","Ix2")))</f>
        <v>Z</v>
      </c>
      <c r="V9" s="4">
        <f>[2]Arkusz1!AM13</f>
        <v>64</v>
      </c>
      <c r="W9" s="4" t="str">
        <f>[2]Arkusz1!AB13</f>
        <v>wrzesień 2025</v>
      </c>
      <c r="X9" s="4" t="str">
        <f>_xlfn.TEXTBEFORE([2]Arkusz1!AC13," (")</f>
        <v>maj 2026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I9" s="4" t="s">
        <v>266</v>
      </c>
      <c r="AJ9" s="4" t="s">
        <v>243</v>
      </c>
      <c r="AK9" s="4" t="s">
        <v>267</v>
      </c>
      <c r="AL9" s="4">
        <v>80110711900</v>
      </c>
      <c r="AM9" s="4" t="s">
        <v>268</v>
      </c>
      <c r="AN9" s="4" t="s">
        <v>269</v>
      </c>
      <c r="AP9" s="4" t="str">
        <f>[1]Hist!$X19</f>
        <v>AGNIESZKA ANNA MAŁKIEWICZ WIELKI G ŁĘBOCZEK 4 87-313 WIELKI GŁĘBOCZEK</v>
      </c>
    </row>
    <row r="10" spans="1:42" x14ac:dyDescent="0.2">
      <c r="A10" s="4">
        <v>8</v>
      </c>
      <c r="B10" s="215">
        <f>[2]Arkusz1!B14</f>
        <v>45840.598981481482</v>
      </c>
      <c r="C10" s="44" t="str">
        <f>_xlfn.CONCAT([2]Arkusz1!G14," ",[2]Arkusz1!H14)</f>
        <v>Karolina Cieciuch</v>
      </c>
      <c r="D10" s="4" t="s">
        <v>248</v>
      </c>
      <c r="E10" s="4" t="s">
        <v>270</v>
      </c>
      <c r="F10" s="218">
        <v>85081509220</v>
      </c>
      <c r="G10" s="4" t="str">
        <f>[2]Arkusz1!I14</f>
        <v>+48 731 900 042</v>
      </c>
      <c r="H10" s="4" t="str">
        <f>[2]Arkusz1!J14</f>
        <v>karolina150885@icloud.com</v>
      </c>
      <c r="I10" s="213" t="str">
        <f>_xlfn.CONCAT([2]Arkusz1!C14," ",[2]Arkusz1!D14)</f>
        <v>Maja Cieciuch</v>
      </c>
      <c r="J10" s="216">
        <f ca="1">IF(DATEDIF([2]Arkusz1!S14,TODAY(),"Y")&gt;21,0,DATEDIF([2]Arkusz1!S14,TODAY(),"Y"))</f>
        <v>16</v>
      </c>
      <c r="K10" s="4" t="str">
        <f>[2]Arkusz1!T14</f>
        <v>Średnia - technikum</v>
      </c>
      <c r="L10" s="216">
        <f>[2]Arkusz1!U14</f>
        <v>2</v>
      </c>
      <c r="M10" s="4" t="str">
        <f>[2]Arkusz1!P14</f>
        <v>Język angielski</v>
      </c>
      <c r="N10" s="4" t="str">
        <f>[2]Arkusz1!Q14</f>
        <v>Maturalny</v>
      </c>
      <c r="O10" s="4" t="str">
        <f>[2]Arkusz1!V14</f>
        <v>Tak (lub kolejny członek rodziny)</v>
      </c>
      <c r="P10" s="4">
        <f t="shared" si="0"/>
        <v>1</v>
      </c>
      <c r="Q10" s="4" t="str">
        <f>[2]Arkusz1!Y14</f>
        <v>027/2025</v>
      </c>
      <c r="R10" s="4" t="s">
        <v>64</v>
      </c>
      <c r="S10" s="4" t="s">
        <v>65</v>
      </c>
      <c r="T10" s="4">
        <f>[2]Arkusz1!AA14</f>
        <v>15</v>
      </c>
      <c r="U10" s="4" t="str">
        <f>IF([2]Arkusz1!O14=[2]Arkusz1!$O$7,"Z",IF([2]Arkusz1!O14=[2]Arkusz1!$O$15,"Ix3",IF([2]Arkusz1!O14=[2]Arkusz1!$O$20,"Ix1","Ix2")))</f>
        <v>Z</v>
      </c>
      <c r="V10" s="4">
        <f>[2]Arkusz1!AM14</f>
        <v>58</v>
      </c>
      <c r="W10" s="4" t="str">
        <f>[2]Arkusz1!AB14</f>
        <v>wrzesień 2025</v>
      </c>
      <c r="X10" s="4" t="str">
        <f>[2]Arkusz1!AC14</f>
        <v>czerwiec 2026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I10" s="4" t="s">
        <v>271</v>
      </c>
      <c r="AJ10" s="4" t="s">
        <v>248</v>
      </c>
      <c r="AK10" s="4" t="s">
        <v>270</v>
      </c>
      <c r="AL10" s="4">
        <v>85081509220</v>
      </c>
      <c r="AM10" s="4" t="s">
        <v>272</v>
      </c>
      <c r="AN10" s="4" t="s">
        <v>273</v>
      </c>
      <c r="AP10" s="4" t="str">
        <f>[1]Hist!$X20</f>
        <v>Agnieszka Szymańska</v>
      </c>
    </row>
    <row r="11" spans="1:42" x14ac:dyDescent="0.2">
      <c r="A11" s="4">
        <v>9</v>
      </c>
      <c r="B11" s="215">
        <f>[2]Arkusz1!B15</f>
        <v>45840.658935185187</v>
      </c>
      <c r="C11" s="44" t="str">
        <f>_xlfn.CONCAT([2]Arkusz1!G15," ",[2]Arkusz1!H15)</f>
        <v>Regina Pokojska</v>
      </c>
      <c r="D11" s="4" t="s">
        <v>274</v>
      </c>
      <c r="E11" s="4" t="s">
        <v>275</v>
      </c>
      <c r="F11" s="218">
        <v>84050914104</v>
      </c>
      <c r="G11" s="4" t="str">
        <f>[2]Arkusz1!I15</f>
        <v>+48 530 090 584</v>
      </c>
      <c r="H11" s="4" t="str">
        <f>[2]Arkusz1!J15</f>
        <v>regina.wp@wp.pl</v>
      </c>
      <c r="I11" s="213" t="str">
        <f>_xlfn.CONCAT([2]Arkusz1!C15," ",[2]Arkusz1!D15)</f>
        <v>Aleksander Pokojski</v>
      </c>
      <c r="J11" s="216">
        <f ca="1">IF(DATEDIF([2]Arkusz1!S15,TODAY(),"Y")&gt;21,0,DATEDIF([2]Arkusz1!S15,TODAY(),"Y"))</f>
        <v>11</v>
      </c>
      <c r="K11" s="4" t="str">
        <f>[2]Arkusz1!T15</f>
        <v>Podstawowa</v>
      </c>
      <c r="L11" s="216">
        <f>[2]Arkusz1!U15</f>
        <v>4</v>
      </c>
      <c r="M11" s="4" t="str">
        <f>[2]Arkusz1!P15</f>
        <v>Język angielski</v>
      </c>
      <c r="N11" s="4">
        <f>[2]Arkusz1!Q15</f>
        <v>0</v>
      </c>
      <c r="O11" s="4" t="str">
        <f>[2]Arkusz1!V15</f>
        <v>Tak (lub kolejny członek rodziny)</v>
      </c>
      <c r="P11" s="4">
        <f t="shared" si="0"/>
        <v>1</v>
      </c>
      <c r="Q11" s="4" t="str">
        <f>[2]Arkusz1!Y15</f>
        <v>035/2025</v>
      </c>
      <c r="R11" s="4" t="s">
        <v>64</v>
      </c>
      <c r="S11" s="4" t="s">
        <v>65</v>
      </c>
      <c r="T11" s="4">
        <f>[2]Arkusz1!AA15</f>
        <v>15</v>
      </c>
      <c r="U11" s="4" t="str">
        <f>IF([2]Arkusz1!O15=[2]Arkusz1!$O$7,"Z",IF([2]Arkusz1!O15=[2]Arkusz1!$O$15,"Ix3",IF([2]Arkusz1!O15=[2]Arkusz1!$O$20,"Ix1","Ix2")))</f>
        <v>Ix3</v>
      </c>
      <c r="V11" s="4">
        <f>[2]Arkusz1!AM15</f>
        <v>33</v>
      </c>
      <c r="W11" s="4" t="str">
        <f>[2]Arkusz1!AB15</f>
        <v>wrzesień 2025</v>
      </c>
      <c r="X11" s="4" t="str">
        <f>[2]Arkusz1!AC15</f>
        <v>czerwiec 2026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I11" s="4" t="s">
        <v>276</v>
      </c>
      <c r="AJ11" s="4" t="s">
        <v>274</v>
      </c>
      <c r="AK11" s="4" t="s">
        <v>275</v>
      </c>
      <c r="AL11" s="4">
        <v>84050914104</v>
      </c>
      <c r="AM11" s="4" t="s">
        <v>277</v>
      </c>
      <c r="AN11" s="4" t="s">
        <v>278</v>
      </c>
      <c r="AP11" s="4" t="str">
        <f>[1]Hist!$X21</f>
        <v xml:space="preserve">ŁUKASZEWSKA SYLWIA </v>
      </c>
    </row>
    <row r="12" spans="1:42" x14ac:dyDescent="0.2">
      <c r="A12" s="4">
        <v>10</v>
      </c>
      <c r="B12" s="215">
        <f>[2]Arkusz1!B16</f>
        <v>45840.666516203702</v>
      </c>
      <c r="C12" s="44" t="str">
        <f>_xlfn.CONCAT([2]Arkusz1!G16," ",[2]Arkusz1!H16)</f>
        <v>Beata Kuhnwald</v>
      </c>
      <c r="D12" s="4" t="str">
        <f>_xlfn.XLOOKUP(H12,[4]Sheet1!$I$2:$I$40,[4]Sheet1!$Y$2:$Y$40,,2,1)</f>
        <v xml:space="preserve">14-260 Lubawa </v>
      </c>
      <c r="E12" s="4" t="str">
        <f>_xlfn.XLOOKUP(H12,[4]Sheet1!$I$2:$I$40,[4]Sheet1!$K$2:$K$40,,2,1)</f>
        <v>Samplawa 57</v>
      </c>
      <c r="F12" s="218">
        <f>_xlfn.XLOOKUP(H12,[4]Sheet1!$I$2:$I$40,[4]Sheet1!$J$2:$J$40,,2,1)</f>
        <v>81020212666</v>
      </c>
      <c r="G12" s="4" t="str">
        <f>[2]Arkusz1!I16</f>
        <v>+48 698 028 045</v>
      </c>
      <c r="H12" s="4" t="str">
        <f>[2]Arkusz1!J16</f>
        <v>beatakuhnwald@gmail.com</v>
      </c>
      <c r="I12" s="213" t="str">
        <f>_xlfn.CONCAT([2]Arkusz1!C16," ",[2]Arkusz1!D16)</f>
        <v>Bianka Kuhnwald</v>
      </c>
      <c r="J12" s="216">
        <f ca="1">IF(DATEDIF([2]Arkusz1!S16,TODAY(),"Y")&gt;21,0,DATEDIF([2]Arkusz1!S16,TODAY(),"Y"))</f>
        <v>10</v>
      </c>
      <c r="K12" s="4" t="str">
        <f>[2]Arkusz1!T16</f>
        <v>Podstawowa</v>
      </c>
      <c r="L12" s="216">
        <f>[2]Arkusz1!U16</f>
        <v>4</v>
      </c>
      <c r="M12" s="4" t="str">
        <f>[2]Arkusz1!P16</f>
        <v>Język angielski</v>
      </c>
      <c r="N12" s="4">
        <f>[2]Arkusz1!Q16</f>
        <v>0</v>
      </c>
      <c r="O12" s="4" t="str">
        <f>[2]Arkusz1!V16</f>
        <v>Tak (lub kolejny członek rodziny)</v>
      </c>
      <c r="P12" s="4">
        <f t="shared" si="0"/>
        <v>2</v>
      </c>
      <c r="Q12" s="4" t="str">
        <f>[2]Arkusz1!Y16</f>
        <v>034/2025</v>
      </c>
      <c r="R12" s="4">
        <v>1</v>
      </c>
      <c r="S12" s="4" t="s">
        <v>65</v>
      </c>
      <c r="T12" s="4">
        <f>[2]Arkusz1!AA16</f>
        <v>15</v>
      </c>
      <c r="U12" s="4" t="str">
        <f>IF([2]Arkusz1!O16=[2]Arkusz1!$O$7,"Z",IF([2]Arkusz1!O16=[2]Arkusz1!$O$15,"Ix3",IF([2]Arkusz1!O16=[2]Arkusz1!$O$20,"Ix1","Ix2")))</f>
        <v>Ix3</v>
      </c>
      <c r="V12" s="4">
        <f>[2]Arkusz1!AM16</f>
        <v>33</v>
      </c>
      <c r="W12" s="4" t="str">
        <f>[2]Arkusz1!AB16</f>
        <v>wrzesień 2025</v>
      </c>
      <c r="X12" s="4" t="str">
        <f>_xlfn.TEXTBEFORE([2]Arkusz1!AC16," (")</f>
        <v>maj 2026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I12" s="4" t="s">
        <v>279</v>
      </c>
      <c r="AJ12" s="4" t="s">
        <v>280</v>
      </c>
      <c r="AK12" s="4" t="s">
        <v>281</v>
      </c>
      <c r="AL12" s="4">
        <v>81020212666</v>
      </c>
      <c r="AM12" s="4" t="s">
        <v>282</v>
      </c>
      <c r="AN12" s="4" t="s">
        <v>283</v>
      </c>
      <c r="AP12" s="4" t="str">
        <f>[1]Hist!$X22</f>
        <v xml:space="preserve">MAGDALENA BŁASZKOWSKA </v>
      </c>
    </row>
    <row r="13" spans="1:42" x14ac:dyDescent="0.2">
      <c r="A13" s="4">
        <v>11</v>
      </c>
      <c r="B13" s="215">
        <f>[2]Arkusz1!B17</f>
        <v>45840.677361111113</v>
      </c>
      <c r="C13" s="44" t="str">
        <f>_xlfn.CONCAT([2]Arkusz1!G17," ",[2]Arkusz1!H17)</f>
        <v>Jowita Święcka</v>
      </c>
      <c r="D13" s="4" t="str">
        <f>_xlfn.XLOOKUP(H13,[4]Sheet1!$I$2:$I$40,[4]Sheet1!$Y$2:$Y$40,,2,1)</f>
        <v>14-200 Iława</v>
      </c>
      <c r="E13" s="4" t="str">
        <f>_xlfn.XLOOKUP(H13,[4]Sheet1!$I$2:$I$40,[4]Sheet1!$K$2:$K$40,,2,1)</f>
        <v>Smolki 4/11</v>
      </c>
      <c r="F13" s="218">
        <f>_xlfn.XLOOKUP(H13,[4]Sheet1!$I$2:$I$40,[4]Sheet1!$J$2:$J$40,,2,1)</f>
        <v>72020909049</v>
      </c>
      <c r="G13" s="4" t="str">
        <f>[2]Arkusz1!I17</f>
        <v>+48 608 088 431</v>
      </c>
      <c r="H13" s="4" t="str">
        <f>[2]Arkusz1!J17</f>
        <v>jowitaswiecka72@gmail.com</v>
      </c>
      <c r="I13" s="213" t="str">
        <f>_xlfn.CONCAT([2]Arkusz1!C17," ",[2]Arkusz1!D17)</f>
        <v>Zuzanna Święcka</v>
      </c>
      <c r="J13" s="216">
        <f ca="1">IF(DATEDIF([2]Arkusz1!S17,TODAY(),"Y")&gt;21,0,DATEDIF([2]Arkusz1!S17,TODAY(),"Y"))</f>
        <v>19</v>
      </c>
      <c r="K13" s="4" t="str">
        <f>[2]Arkusz1!T17</f>
        <v>Średnia - liceum</v>
      </c>
      <c r="L13" s="216">
        <f>[2]Arkusz1!U17</f>
        <v>3</v>
      </c>
      <c r="M13" s="4" t="str">
        <f>[2]Arkusz1!P17</f>
        <v>Język angielski</v>
      </c>
      <c r="N13" s="4" t="str">
        <f>[2]Arkusz1!Q17</f>
        <v>Maturalny</v>
      </c>
      <c r="O13" s="4" t="str">
        <f>[2]Arkusz1!V17</f>
        <v>Tak (lub kolejny członek rodziny)</v>
      </c>
      <c r="P13" s="4">
        <f t="shared" si="0"/>
        <v>1</v>
      </c>
      <c r="Q13" s="4" t="str">
        <f>[2]Arkusz1!Y17</f>
        <v>065/2025</v>
      </c>
      <c r="R13" s="4" t="s">
        <v>64</v>
      </c>
      <c r="S13" s="4" t="s">
        <v>65</v>
      </c>
      <c r="T13" s="4">
        <f>[2]Arkusz1!AA17</f>
        <v>25</v>
      </c>
      <c r="U13" s="4" t="str">
        <f>IF([2]Arkusz1!O17=[2]Arkusz1!$O$7,"Z",IF([2]Arkusz1!O17=[2]Arkusz1!$O$15,"Ix3",IF([2]Arkusz1!O17=[2]Arkusz1!$O$20,"Ix1","Ix2")))</f>
        <v>Z</v>
      </c>
      <c r="V13" s="4">
        <f>[2]Arkusz1!AM17</f>
        <v>58</v>
      </c>
      <c r="W13" s="4" t="str">
        <f>[2]Arkusz1!AB17</f>
        <v>wrzesień 2025</v>
      </c>
      <c r="X13" s="4" t="str">
        <f>_xlfn.TEXTBEFORE([2]Arkusz1!AC17," (")</f>
        <v>maj 2026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I13" s="4" t="s">
        <v>284</v>
      </c>
      <c r="AJ13" s="4" t="s">
        <v>248</v>
      </c>
      <c r="AK13" s="4" t="s">
        <v>285</v>
      </c>
      <c r="AL13" s="4">
        <v>72020909049</v>
      </c>
      <c r="AM13" s="4" t="s">
        <v>286</v>
      </c>
      <c r="AN13" s="4" t="s">
        <v>287</v>
      </c>
      <c r="AP13" s="4" t="str">
        <f>[1]Hist!$X23</f>
        <v xml:space="preserve">BAJOR MICHAŁ </v>
      </c>
    </row>
    <row r="14" spans="1:42" x14ac:dyDescent="0.2">
      <c r="A14" s="4">
        <v>12</v>
      </c>
      <c r="B14" s="215">
        <f>[2]Arkusz1!B18</f>
        <v>45840.705509259256</v>
      </c>
      <c r="C14" s="44" t="str">
        <f>_xlfn.CONCAT([2]Arkusz1!G18," ",[2]Arkusz1!H18)</f>
        <v>Aneta Racka</v>
      </c>
      <c r="D14" s="4" t="s">
        <v>248</v>
      </c>
      <c r="E14" s="4" t="s">
        <v>288</v>
      </c>
      <c r="F14" s="218">
        <v>73102806700</v>
      </c>
      <c r="G14" s="4" t="str">
        <f>[2]Arkusz1!I18</f>
        <v>+48 507 402 409</v>
      </c>
      <c r="H14" s="4" t="str">
        <f>[2]Arkusz1!J18</f>
        <v>anetaracka123@gmail.com</v>
      </c>
      <c r="I14" s="213" t="str">
        <f>_xlfn.CONCAT([2]Arkusz1!C18," ",[2]Arkusz1!D18)</f>
        <v>Michał Racki</v>
      </c>
      <c r="J14" s="216">
        <f ca="1">IF(DATEDIF([2]Arkusz1!S18,TODAY(),"Y")&gt;21,0,DATEDIF([2]Arkusz1!S18,TODAY(),"Y"))</f>
        <v>18</v>
      </c>
      <c r="K14" s="4" t="str">
        <f>[2]Arkusz1!T18</f>
        <v>Średnia - liceum</v>
      </c>
      <c r="L14" s="216">
        <f>[2]Arkusz1!U18</f>
        <v>4</v>
      </c>
      <c r="M14" s="4" t="str">
        <f>[2]Arkusz1!P18</f>
        <v>Język angielski</v>
      </c>
      <c r="N14" s="4" t="str">
        <f>[2]Arkusz1!Q18</f>
        <v>Maturalny</v>
      </c>
      <c r="O14" s="4" t="str">
        <f>[2]Arkusz1!V18</f>
        <v>Tak (lub kolejny członek rodziny)</v>
      </c>
      <c r="P14" s="4">
        <f t="shared" si="0"/>
        <v>1</v>
      </c>
      <c r="Q14" s="4">
        <f>[2]Arkusz1!Y18</f>
        <v>0</v>
      </c>
      <c r="R14" s="4" t="s">
        <v>64</v>
      </c>
      <c r="S14" s="4" t="s">
        <v>65</v>
      </c>
      <c r="T14" s="4">
        <f>[2]Arkusz1!AA18</f>
        <v>15</v>
      </c>
      <c r="U14" s="4" t="str">
        <f>IF([2]Arkusz1!O18=[2]Arkusz1!$O$7,"Z",IF([2]Arkusz1!O18=[2]Arkusz1!$O$15,"Ix3",IF([2]Arkusz1!O18=[2]Arkusz1!$O$20,"Ix1","Ix2")))</f>
        <v>Z</v>
      </c>
      <c r="V14" s="4">
        <f>[2]Arkusz1!AM18</f>
        <v>58</v>
      </c>
      <c r="W14" s="4" t="str">
        <f>[2]Arkusz1!AB18</f>
        <v>wrzesień 2025</v>
      </c>
      <c r="X14" s="4" t="str">
        <f>_xlfn.TEXTBEFORE([2]Arkusz1!AC18," (")</f>
        <v>maj 2026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I14" s="4" t="s">
        <v>289</v>
      </c>
      <c r="AJ14" s="4" t="s">
        <v>248</v>
      </c>
      <c r="AK14" s="4" t="s">
        <v>288</v>
      </c>
      <c r="AL14" s="4">
        <v>73102806700</v>
      </c>
      <c r="AM14" s="4" t="s">
        <v>290</v>
      </c>
      <c r="AN14" s="4" t="s">
        <v>291</v>
      </c>
      <c r="AP14" s="4" t="str">
        <f>[1]Hist!$X24</f>
        <v xml:space="preserve">ANETA ELŻBIETA NAWORSKA </v>
      </c>
    </row>
    <row r="15" spans="1:42" x14ac:dyDescent="0.2">
      <c r="A15" s="4">
        <v>13</v>
      </c>
      <c r="B15" s="215">
        <f>[2]Arkusz1!B19</f>
        <v>45840.735810185186</v>
      </c>
      <c r="C15" s="44" t="str">
        <f>_xlfn.CONCAT([2]Arkusz1!G19," ",[2]Arkusz1!H19)</f>
        <v>Beata Listkowska</v>
      </c>
      <c r="D15" s="4" t="str">
        <f>_xlfn.XLOOKUP(H15,[4]Sheet1!$I$2:$I$40,[4]Sheet1!$Y$2:$Y$40,,2,1)</f>
        <v>14-200 IŁAWA</v>
      </c>
      <c r="E15" s="4" t="str">
        <f>_xlfn.XLOOKUP(H15,[4]Sheet1!$I$2:$I$40,[4]Sheet1!$K$2:$K$40,,2,1)</f>
        <v>DĄBROWSKIEGO 8/25</v>
      </c>
      <c r="F15" s="218">
        <f>_xlfn.XLOOKUP(H15,[4]Sheet1!$I$2:$I$40,[4]Sheet1!$J$2:$J$40,,2,1)</f>
        <v>80022308568</v>
      </c>
      <c r="G15" s="4" t="str">
        <f>[2]Arkusz1!I19</f>
        <v>+48 606 324 912</v>
      </c>
      <c r="H15" s="4" t="str">
        <f>[2]Arkusz1!J19</f>
        <v>maxifafik@wp.pl</v>
      </c>
      <c r="I15" s="213" t="str">
        <f>_xlfn.CONCAT([2]Arkusz1!C19," ",[2]Arkusz1!D19)</f>
        <v>Wiwiana Listkowska</v>
      </c>
      <c r="J15" s="216">
        <f ca="1">IF(DATEDIF([2]Arkusz1!S19,TODAY(),"Y")&gt;21,0,DATEDIF([2]Arkusz1!S19,TODAY(),"Y"))</f>
        <v>14</v>
      </c>
      <c r="K15" s="4" t="str">
        <f>[2]Arkusz1!T19</f>
        <v>Podstawowa</v>
      </c>
      <c r="L15" s="216">
        <f>[2]Arkusz1!U19</f>
        <v>7</v>
      </c>
      <c r="M15" s="4" t="str">
        <f>[2]Arkusz1!P19</f>
        <v>Język angielski</v>
      </c>
      <c r="N15" s="4" t="str">
        <f>[2]Arkusz1!Q19</f>
        <v>Ósmoklasisty</v>
      </c>
      <c r="O15" s="4" t="str">
        <f>[2]Arkusz1!V19</f>
        <v>Tak (lub kolejny członek rodziny)</v>
      </c>
      <c r="P15" s="4">
        <f t="shared" si="0"/>
        <v>1</v>
      </c>
      <c r="Q15" s="4" t="str">
        <f>[2]Arkusz1!Y19</f>
        <v>033/2025</v>
      </c>
      <c r="R15" s="4" t="s">
        <v>64</v>
      </c>
      <c r="S15" s="4" t="s">
        <v>65</v>
      </c>
      <c r="T15" s="4">
        <f>[2]Arkusz1!AA19</f>
        <v>15</v>
      </c>
      <c r="U15" s="4" t="str">
        <f>IF([2]Arkusz1!O19=[2]Arkusz1!$O$7,"Z",IF([2]Arkusz1!O19=[2]Arkusz1!$O$15,"Ix3",IF([2]Arkusz1!O19=[2]Arkusz1!$O$20,"Ix1","Ix2")))</f>
        <v>Z</v>
      </c>
      <c r="V15" s="4">
        <f>[2]Arkusz1!AM19</f>
        <v>64</v>
      </c>
      <c r="W15" s="4" t="str">
        <f>[2]Arkusz1!AB19</f>
        <v>wrzesień 2025</v>
      </c>
      <c r="X15" s="4" t="str">
        <f>_xlfn.TEXTBEFORE([2]Arkusz1!AC19," (")</f>
        <v>maj 2026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I15" s="4" t="s">
        <v>292</v>
      </c>
      <c r="AJ15" s="4" t="s">
        <v>293</v>
      </c>
      <c r="AK15" s="4" t="s">
        <v>294</v>
      </c>
      <c r="AL15" s="4">
        <v>80022308568</v>
      </c>
      <c r="AM15" s="4" t="s">
        <v>295</v>
      </c>
      <c r="AN15" s="4" t="s">
        <v>296</v>
      </c>
      <c r="AP15" s="4" t="str">
        <f>[1]Hist!$X25</f>
        <v>HANNA MARIA GAMALSKA</v>
      </c>
    </row>
    <row r="16" spans="1:42" x14ac:dyDescent="0.2">
      <c r="A16" s="4">
        <v>14</v>
      </c>
      <c r="B16" s="215">
        <f>[2]Arkusz1!B20</f>
        <v>45841.308611111112</v>
      </c>
      <c r="C16" s="44" t="str">
        <f>_xlfn.CONCAT([2]Arkusz1!G20," ",[2]Arkusz1!H20)</f>
        <v>Marek Klimik</v>
      </c>
      <c r="D16" s="4" t="str">
        <f>_xlfn.XLOOKUP(H16,[4]Sheet1!$I$2:$I$40,[4]Sheet1!$Y$2:$Y$40,,2,1)</f>
        <v>14-200 Iława</v>
      </c>
      <c r="E16" s="4" t="str">
        <f>_xlfn.XLOOKUP(H16,[4]Sheet1!$I$2:$I$40,[4]Sheet1!$K$2:$K$40,,2,1)</f>
        <v>Piastowska 6/38</v>
      </c>
      <c r="F16" s="218">
        <f>_xlfn.XLOOKUP(H16,[4]Sheet1!$I$2:$I$40,[4]Sheet1!$J$2:$J$40,,2,1)</f>
        <v>84122808335</v>
      </c>
      <c r="G16" s="4" t="str">
        <f>[2]Arkusz1!I20</f>
        <v>+48 609 038 850</v>
      </c>
      <c r="H16" s="4" t="str">
        <f>[2]Arkusz1!J20</f>
        <v>klimik.m@wp.pl</v>
      </c>
      <c r="I16" s="213" t="str">
        <f>_xlfn.CONCAT([2]Arkusz1!C20," ",[2]Arkusz1!D20)</f>
        <v>Pola Klimik</v>
      </c>
      <c r="J16" s="216">
        <f ca="1">IF(DATEDIF([2]Arkusz1!S20,TODAY(),"Y")&gt;21,0,DATEDIF([2]Arkusz1!S20,TODAY(),"Y"))</f>
        <v>11</v>
      </c>
      <c r="K16" s="4" t="str">
        <f>[2]Arkusz1!T20</f>
        <v>Podstawowa</v>
      </c>
      <c r="L16" s="216">
        <f>[2]Arkusz1!U20</f>
        <v>4</v>
      </c>
      <c r="M16" s="4" t="str">
        <f>[2]Arkusz1!P20</f>
        <v>Język angielski</v>
      </c>
      <c r="N16" s="4">
        <f>[2]Arkusz1!Q20</f>
        <v>0</v>
      </c>
      <c r="O16" s="4" t="str">
        <f>[2]Arkusz1!V20</f>
        <v>Tak (lub kolejny członek rodziny)</v>
      </c>
      <c r="P16" s="4">
        <f t="shared" si="0"/>
        <v>1</v>
      </c>
      <c r="Q16" s="4" t="str">
        <f>[2]Arkusz1!Y20</f>
        <v>016/2025</v>
      </c>
      <c r="R16" s="4" t="s">
        <v>64</v>
      </c>
      <c r="S16" s="4" t="s">
        <v>65</v>
      </c>
      <c r="T16" s="4">
        <f>[2]Arkusz1!AA20</f>
        <v>5</v>
      </c>
      <c r="U16" s="4" t="str">
        <f>IF([2]Arkusz1!O20=[2]Arkusz1!$O$7,"Z",IF([2]Arkusz1!O20=[2]Arkusz1!$O$15,"Ix3",IF([2]Arkusz1!O20=[2]Arkusz1!$O$20,"Ix1","Ix2")))</f>
        <v>Ix1</v>
      </c>
      <c r="V16" s="4">
        <f>[2]Arkusz1!AM20</f>
        <v>33</v>
      </c>
      <c r="W16" s="4" t="str">
        <f>[2]Arkusz1!AB20</f>
        <v>wrzesień 2025</v>
      </c>
      <c r="X16" s="4" t="str">
        <f>_xlfn.TEXTBEFORE([2]Arkusz1!AC20," (")</f>
        <v>maj 2026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I16" s="4" t="s">
        <v>297</v>
      </c>
      <c r="AJ16" s="4" t="s">
        <v>248</v>
      </c>
      <c r="AK16" s="4" t="s">
        <v>298</v>
      </c>
      <c r="AL16" s="4">
        <v>84122808335</v>
      </c>
      <c r="AM16" s="4" t="s">
        <v>299</v>
      </c>
      <c r="AN16" s="4" t="s">
        <v>300</v>
      </c>
      <c r="AP16" s="4" t="str">
        <f>[1]Hist!$X26</f>
        <v xml:space="preserve">TRZEBIATOWSKA-MACIEJKO EWA </v>
      </c>
    </row>
    <row r="17" spans="1:42" x14ac:dyDescent="0.2">
      <c r="A17" s="4">
        <v>15</v>
      </c>
      <c r="B17" s="215">
        <f>[2]Arkusz1!B21</f>
        <v>45841.351921296293</v>
      </c>
      <c r="C17" s="44" t="str">
        <f>_xlfn.CONCAT([2]Arkusz1!G21," ",[2]Arkusz1!H21)</f>
        <v>AGNIESZKA SZYMAŃSKA</v>
      </c>
      <c r="D17" s="4" t="s">
        <v>301</v>
      </c>
      <c r="E17" s="4" t="s">
        <v>302</v>
      </c>
      <c r="F17" s="218">
        <v>78010307909</v>
      </c>
      <c r="G17" s="4" t="str">
        <f>[2]Arkusz1!I21</f>
        <v>+48 664 431 480</v>
      </c>
      <c r="H17" s="4" t="str">
        <f>[2]Arkusz1!J21</f>
        <v>a.szymanska2@onet.pl</v>
      </c>
      <c r="I17" s="213" t="str">
        <f>_xlfn.CONCAT([2]Arkusz1!C21," ",[2]Arkusz1!D21)</f>
        <v>IGOR SZYMAŃSKI</v>
      </c>
      <c r="J17" s="216">
        <f ca="1">IF(DATEDIF([2]Arkusz1!S21,TODAY(),"Y")&gt;21,0,DATEDIF([2]Arkusz1!S21,TODAY(),"Y"))</f>
        <v>16</v>
      </c>
      <c r="K17" s="4" t="str">
        <f>[2]Arkusz1!T21</f>
        <v>Średnia - technikum</v>
      </c>
      <c r="L17" s="216">
        <f>[2]Arkusz1!U21</f>
        <v>3</v>
      </c>
      <c r="M17" s="4" t="str">
        <f>[2]Arkusz1!P21</f>
        <v>Język angielski</v>
      </c>
      <c r="N17" s="4" t="str">
        <f>[2]Arkusz1!Q21</f>
        <v>Maturalny</v>
      </c>
      <c r="O17" s="4" t="str">
        <f>[2]Arkusz1!V21</f>
        <v>Tak (lub kolejny członek rodziny)</v>
      </c>
      <c r="P17" s="4">
        <f t="shared" si="0"/>
        <v>1</v>
      </c>
      <c r="Q17" s="4">
        <f>[2]Arkusz1!Y21</f>
        <v>0</v>
      </c>
      <c r="R17" s="4" t="s">
        <v>64</v>
      </c>
      <c r="S17" s="4" t="s">
        <v>65</v>
      </c>
      <c r="T17" s="4">
        <f>[2]Arkusz1!AA21</f>
        <v>15</v>
      </c>
      <c r="U17" s="4" t="str">
        <f>IF([2]Arkusz1!O21=[2]Arkusz1!$O$7,"Z",IF([2]Arkusz1!O21=[2]Arkusz1!$O$15,"Ix3",IF([2]Arkusz1!O21=[2]Arkusz1!$O$20,"Ix1","Ix2")))</f>
        <v>Z</v>
      </c>
      <c r="V17" s="4">
        <f>[2]Arkusz1!AM21</f>
        <v>64</v>
      </c>
      <c r="W17" s="4" t="str">
        <f>[2]Arkusz1!AB21</f>
        <v>wrzesień 2025</v>
      </c>
      <c r="X17" s="4" t="str">
        <f>_xlfn.TEXTBEFORE([2]Arkusz1!AC21," (")</f>
        <v>maj 2026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I17" s="4" t="s">
        <v>303</v>
      </c>
      <c r="AJ17" s="4" t="s">
        <v>301</v>
      </c>
      <c r="AK17" s="4" t="s">
        <v>302</v>
      </c>
      <c r="AL17" s="4">
        <v>78010307909</v>
      </c>
      <c r="AM17" s="4" t="s">
        <v>304</v>
      </c>
      <c r="AN17" s="4" t="s">
        <v>305</v>
      </c>
      <c r="AP17" s="4" t="str">
        <f>[1]Hist!$X27</f>
        <v>RAFAŁ JANUSZ MATUKIEWICZ GEN. WARAKSIEWICZA 9</v>
      </c>
    </row>
    <row r="18" spans="1:42" x14ac:dyDescent="0.2">
      <c r="A18" s="4">
        <v>16</v>
      </c>
      <c r="B18" s="215">
        <f>[2]Arkusz1!B22</f>
        <v>45841.401250000003</v>
      </c>
      <c r="C18" s="44" t="str">
        <f>_xlfn.CONCAT([2]Arkusz1!G22," ",[2]Arkusz1!H22)</f>
        <v>Katarzyna Sobocińska</v>
      </c>
      <c r="D18" s="4" t="str">
        <f>_xlfn.XLOOKUP(H18,[4]Sheet1!$I$2:$I$40,[4]Sheet1!$Y$2:$Y$40,,2,1)</f>
        <v>14-200  Iława</v>
      </c>
      <c r="E18" s="4" t="str">
        <f>_xlfn.XLOOKUP(H18,[4]Sheet1!$I$2:$I$40,[4]Sheet1!$K$2:$K$40,,2,1)</f>
        <v>Gdańska 5b/20</v>
      </c>
      <c r="F18" s="218">
        <f>_xlfn.XLOOKUP(H18,[4]Sheet1!$I$2:$I$40,[4]Sheet1!$J$2:$J$40,,2,1)</f>
        <v>79020512428</v>
      </c>
      <c r="G18" s="4" t="str">
        <f>[2]Arkusz1!I22</f>
        <v>+48 668 409 446</v>
      </c>
      <c r="H18" s="4" t="str">
        <f>[2]Arkusz1!J22</f>
        <v>kasiaijaca@wp.pl</v>
      </c>
      <c r="I18" s="213" t="str">
        <f>_xlfn.CONCAT([2]Arkusz1!C22," ",[2]Arkusz1!D22)</f>
        <v>Natalia Sobocińska</v>
      </c>
      <c r="J18" s="216">
        <f ca="1">IF(DATEDIF([2]Arkusz1!S22,TODAY(),"Y")&gt;21,0,DATEDIF([2]Arkusz1!S22,TODAY(),"Y"))</f>
        <v>16</v>
      </c>
      <c r="K18" s="4" t="str">
        <f>[2]Arkusz1!T22</f>
        <v>Średnia - technikum</v>
      </c>
      <c r="L18" s="216">
        <f>[2]Arkusz1!U22</f>
        <v>3</v>
      </c>
      <c r="M18" s="4" t="str">
        <f>[2]Arkusz1!P22</f>
        <v>Język angielski</v>
      </c>
      <c r="N18" s="4" t="str">
        <f>[2]Arkusz1!Q22</f>
        <v>Maturalny</v>
      </c>
      <c r="O18" s="4" t="str">
        <f>[2]Arkusz1!V22</f>
        <v>Tak (lub kolejny członek rodziny)</v>
      </c>
      <c r="P18" s="4">
        <f t="shared" si="0"/>
        <v>1</v>
      </c>
      <c r="Q18" s="4" t="str">
        <f>[2]Arkusz1!Y22</f>
        <v>053</v>
      </c>
      <c r="R18" s="4" t="s">
        <v>64</v>
      </c>
      <c r="S18" s="4" t="s">
        <v>65</v>
      </c>
      <c r="T18" s="4">
        <f>[2]Arkusz1!AA22</f>
        <v>15</v>
      </c>
      <c r="U18" s="4" t="str">
        <f>IF([2]Arkusz1!O22=[2]Arkusz1!$O$7,"Z",IF([2]Arkusz1!O22=[2]Arkusz1!$O$15,"Ix3",IF([2]Arkusz1!O22=[2]Arkusz1!$O$20,"Ix1","Ix2")))</f>
        <v>Z</v>
      </c>
      <c r="V18" s="4">
        <f>[2]Arkusz1!AM22</f>
        <v>58</v>
      </c>
      <c r="W18" s="4" t="str">
        <f>[2]Arkusz1!AB22</f>
        <v>wrzesień 2025</v>
      </c>
      <c r="X18" s="4" t="str">
        <f>_xlfn.TEXTBEFORE([2]Arkusz1!AC22," (")</f>
        <v>maj 2026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I18" s="4" t="s">
        <v>306</v>
      </c>
      <c r="AJ18" s="4" t="s">
        <v>307</v>
      </c>
      <c r="AK18" s="4" t="s">
        <v>308</v>
      </c>
      <c r="AL18" s="4">
        <v>79020512428</v>
      </c>
      <c r="AM18" s="4" t="s">
        <v>309</v>
      </c>
      <c r="AN18" s="4" t="s">
        <v>310</v>
      </c>
      <c r="AP18" s="4" t="str">
        <f>[1]Hist!$X28</f>
        <v>LUBIENIECKA M I LUBIENIECKI M UL. KOLOROWA 17</v>
      </c>
    </row>
    <row r="19" spans="1:42" x14ac:dyDescent="0.2">
      <c r="A19" s="4">
        <v>17</v>
      </c>
      <c r="B19" s="215">
        <f>[2]Arkusz1!B23</f>
        <v>45841.444537037038</v>
      </c>
      <c r="C19" s="44" t="str">
        <f>_xlfn.CONCAT([2]Arkusz1!G23," ",[2]Arkusz1!H23)</f>
        <v>Anna Nikczeńska</v>
      </c>
      <c r="D19" s="4" t="str">
        <f>_xlfn.XLOOKUP(H19,[4]Sheet1!$I$2:$I$40,[4]Sheet1!$Y$2:$Y$40,,2,1)</f>
        <v>14-200 Wikielec</v>
      </c>
      <c r="E19" s="4" t="str">
        <f>_xlfn.XLOOKUP(H19,[4]Sheet1!$I$2:$I$40,[4]Sheet1!$K$2:$K$40,,2,1)</f>
        <v>Wrzosowa 18</v>
      </c>
      <c r="F19" s="218">
        <f>_xlfn.XLOOKUP(H19,[4]Sheet1!$I$2:$I$40,[4]Sheet1!$J$2:$J$40,,2,1)</f>
        <v>76082709085</v>
      </c>
      <c r="G19" s="4" t="str">
        <f>[2]Arkusz1!I23</f>
        <v>+48 695 040 005</v>
      </c>
      <c r="H19" s="4" t="str">
        <f>[2]Arkusz1!J23</f>
        <v>ania.natka@op.pl</v>
      </c>
      <c r="I19" s="213" t="str">
        <f>_xlfn.CONCAT([2]Arkusz1!C23," ",[2]Arkusz1!D23)</f>
        <v>Eryk Nikczeński</v>
      </c>
      <c r="J19" s="216">
        <f ca="1">IF(DATEDIF([2]Arkusz1!S23,TODAY(),"Y")&gt;21,0,DATEDIF([2]Arkusz1!S23,TODAY(),"Y"))</f>
        <v>16</v>
      </c>
      <c r="K19" s="4" t="str">
        <f>[2]Arkusz1!T23</f>
        <v>Średnia - liceum</v>
      </c>
      <c r="L19" s="216">
        <f>[2]Arkusz1!U23</f>
        <v>2</v>
      </c>
      <c r="M19" s="4" t="str">
        <f>[2]Arkusz1!P23</f>
        <v>Język angielski</v>
      </c>
      <c r="N19" s="4">
        <f>[2]Arkusz1!Q23</f>
        <v>0</v>
      </c>
      <c r="O19" s="4" t="str">
        <f>[2]Arkusz1!V23</f>
        <v>Tak (lub kolejny członek rodziny)</v>
      </c>
      <c r="P19" s="4">
        <f t="shared" si="0"/>
        <v>1</v>
      </c>
      <c r="Q19" s="4">
        <f>[2]Arkusz1!Y23</f>
        <v>0</v>
      </c>
      <c r="R19" s="4" t="s">
        <v>64</v>
      </c>
      <c r="S19" s="4" t="s">
        <v>65</v>
      </c>
      <c r="T19" s="4">
        <f>[2]Arkusz1!AA23</f>
        <v>15</v>
      </c>
      <c r="U19" s="4" t="str">
        <f>IF([2]Arkusz1!O23=[2]Arkusz1!$O$7,"Z",IF([2]Arkusz1!O23=[2]Arkusz1!$O$15,"Ix3",IF([2]Arkusz1!O23=[2]Arkusz1!$O$20,"Ix1","Ix2")))</f>
        <v>Z</v>
      </c>
      <c r="V19" s="4">
        <f>[2]Arkusz1!AM23</f>
        <v>64</v>
      </c>
      <c r="W19" s="4" t="str">
        <f>[2]Arkusz1!AB23</f>
        <v>sierpień 2025</v>
      </c>
      <c r="X19" s="4" t="str">
        <f>_xlfn.TEXTBEFORE([2]Arkusz1!AC23," (")</f>
        <v>maj 2026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I19" s="4" t="s">
        <v>311</v>
      </c>
      <c r="AJ19" s="4" t="s">
        <v>301</v>
      </c>
      <c r="AK19" s="4" t="s">
        <v>312</v>
      </c>
      <c r="AL19" s="4">
        <v>76082709085</v>
      </c>
      <c r="AM19" s="4" t="s">
        <v>313</v>
      </c>
      <c r="AN19" s="4" t="s">
        <v>314</v>
      </c>
      <c r="AP19" s="4" t="str">
        <f>[1]Hist!$X29</f>
        <v>BOJANOWSKA ANETA LASECZNO MAŁE 79</v>
      </c>
    </row>
    <row r="20" spans="1:42" x14ac:dyDescent="0.2">
      <c r="A20" s="4">
        <v>18</v>
      </c>
      <c r="B20" s="215">
        <f>[2]Arkusz1!B24</f>
        <v>45841.445150462961</v>
      </c>
      <c r="C20" s="44" t="str">
        <f>_xlfn.CONCAT([2]Arkusz1!G24," ",[2]Arkusz1!H24)</f>
        <v>Wojciech Kożuchowski</v>
      </c>
      <c r="D20" s="4" t="str">
        <f>_xlfn.XLOOKUP(H20,[4]Sheet1!$I$2:$I$40,[4]Sheet1!$Y$2:$Y$40,,2,1)</f>
        <v>14-202 Ząbrowo</v>
      </c>
      <c r="E20" s="4" t="str">
        <f>_xlfn.XLOOKUP(H20,[4]Sheet1!$I$2:$I$40,[4]Sheet1!$K$2:$K$40,,2,1)</f>
        <v>Szkolna 15</v>
      </c>
      <c r="F20" s="218">
        <f>_xlfn.XLOOKUP(H20,[4]Sheet1!$I$2:$I$40,[4]Sheet1!$J$2:$J$40,,2,1)</f>
        <v>79063009992</v>
      </c>
      <c r="G20" s="4" t="str">
        <f>[2]Arkusz1!I24</f>
        <v>+48 600 022 234</v>
      </c>
      <c r="H20" s="4" t="str">
        <f>[2]Arkusz1!J24</f>
        <v>did0@wp.pl</v>
      </c>
      <c r="I20" s="213" t="str">
        <f>_xlfn.CONCAT([2]Arkusz1!C24," ",[2]Arkusz1!D24)</f>
        <v>Liliana Kożuchowska</v>
      </c>
      <c r="J20" s="216">
        <f ca="1">IF(DATEDIF([2]Arkusz1!S24,TODAY(),"Y")&gt;21,0,DATEDIF([2]Arkusz1!S24,TODAY(),"Y"))</f>
        <v>16</v>
      </c>
      <c r="K20" s="4" t="str">
        <f>[2]Arkusz1!T24</f>
        <v>Średnia - liceum</v>
      </c>
      <c r="L20" s="216">
        <f>[2]Arkusz1!U24</f>
        <v>1</v>
      </c>
      <c r="M20" s="4" t="str">
        <f>[2]Arkusz1!P24</f>
        <v>Język angielski</v>
      </c>
      <c r="N20" s="4">
        <f>[2]Arkusz1!Q24</f>
        <v>0</v>
      </c>
      <c r="O20" s="4" t="str">
        <f>[2]Arkusz1!V24</f>
        <v>Tak (lub kolejny członek rodziny)</v>
      </c>
      <c r="P20" s="4">
        <f t="shared" si="0"/>
        <v>1</v>
      </c>
      <c r="Q20" s="4" t="str">
        <f>[2]Arkusz1!Y24</f>
        <v>075/2025</v>
      </c>
      <c r="R20" s="4" t="s">
        <v>64</v>
      </c>
      <c r="S20" s="4" t="s">
        <v>65</v>
      </c>
      <c r="T20" s="4">
        <f>[2]Arkusz1!AA24</f>
        <v>5</v>
      </c>
      <c r="U20" s="4" t="str">
        <f>IF([2]Arkusz1!O24=[2]Arkusz1!$O$7,"Z",IF([2]Arkusz1!O24=[2]Arkusz1!$O$15,"Ix3",IF([2]Arkusz1!O24=[2]Arkusz1!$O$20,"Ix1","Ix2")))</f>
        <v>Z</v>
      </c>
      <c r="V20" s="4">
        <f>[2]Arkusz1!AM24</f>
        <v>64</v>
      </c>
      <c r="W20" s="4" t="str">
        <f>[2]Arkusz1!AB24</f>
        <v>wrzesień 2025</v>
      </c>
      <c r="X20" s="4" t="str">
        <f>_xlfn.TEXTBEFORE([2]Arkusz1!AC24," (")</f>
        <v>maj 2026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I20" s="4" t="s">
        <v>315</v>
      </c>
      <c r="AJ20" s="4" t="s">
        <v>316</v>
      </c>
      <c r="AK20" s="4" t="s">
        <v>317</v>
      </c>
      <c r="AL20" s="4">
        <v>79063009992</v>
      </c>
      <c r="AM20" s="4" t="s">
        <v>318</v>
      </c>
      <c r="AN20" s="4" t="s">
        <v>319</v>
      </c>
      <c r="AP20" s="4" t="str">
        <f>[1]Hist!$X30</f>
        <v xml:space="preserve">MAGDALENA GETKA </v>
      </c>
    </row>
    <row r="21" spans="1:42" x14ac:dyDescent="0.2">
      <c r="A21" s="4">
        <v>19</v>
      </c>
      <c r="B21" s="215">
        <f>[2]Arkusz1!B25</f>
        <v>45841.735185185185</v>
      </c>
      <c r="C21" s="44" t="str">
        <f>_xlfn.CONCAT([2]Arkusz1!G25," ",[2]Arkusz1!H25)</f>
        <v>Emilia Piecuch</v>
      </c>
      <c r="D21" s="4" t="str">
        <f>_xlfn.XLOOKUP(H21,[4]Sheet1!$I$2:$I$40,[4]Sheet1!$Y$2:$Y$40,,2,1)</f>
        <v>14-200  Iława</v>
      </c>
      <c r="E21" s="4" t="str">
        <f>_xlfn.XLOOKUP(H21,[4]Sheet1!$I$2:$I$40,[4]Sheet1!$K$2:$K$40,,2,1)</f>
        <v>Jana Matejki 3e/2</v>
      </c>
      <c r="F21" s="218">
        <f>_xlfn.XLOOKUP(H21,[4]Sheet1!$I$2:$I$40,[4]Sheet1!$J$2:$J$40,,2,1)</f>
        <v>79022707408</v>
      </c>
      <c r="G21" s="4" t="str">
        <f>[2]Arkusz1!I25</f>
        <v>+48 789 328 376</v>
      </c>
      <c r="H21" s="4" t="str">
        <f>[2]Arkusz1!J25</f>
        <v>emiliapiecuch706@gmail.com</v>
      </c>
      <c r="I21" s="213" t="str">
        <f>_xlfn.CONCAT([2]Arkusz1!C25," ",[2]Arkusz1!D25)</f>
        <v>Oskar Piecuch</v>
      </c>
      <c r="J21" s="216">
        <f ca="1">IF(DATEDIF([2]Arkusz1!S25,TODAY(),"Y")&gt;21,0,DATEDIF([2]Arkusz1!S25,TODAY(),"Y"))</f>
        <v>18</v>
      </c>
      <c r="K21" s="4" t="str">
        <f>[2]Arkusz1!T25</f>
        <v>Średnia - liceum</v>
      </c>
      <c r="L21" s="216">
        <f>[2]Arkusz1!U25</f>
        <v>3</v>
      </c>
      <c r="M21" s="4" t="str">
        <f>[2]Arkusz1!P25</f>
        <v>Język angielski</v>
      </c>
      <c r="N21" s="4">
        <f>[2]Arkusz1!Q25</f>
        <v>0</v>
      </c>
      <c r="O21" s="4" t="str">
        <f>[2]Arkusz1!V25</f>
        <v>Tak (lub kolejny członek rodziny)</v>
      </c>
      <c r="P21" s="4">
        <f t="shared" si="0"/>
        <v>1</v>
      </c>
      <c r="Q21" s="4" t="str">
        <f>[2]Arkusz1!Y25</f>
        <v>014/2025</v>
      </c>
      <c r="R21" s="4" t="s">
        <v>64</v>
      </c>
      <c r="S21" s="4" t="s">
        <v>65</v>
      </c>
      <c r="T21" s="4">
        <f>[2]Arkusz1!AA25</f>
        <v>5</v>
      </c>
      <c r="U21" s="4" t="str">
        <f>IF([2]Arkusz1!O25=[2]Arkusz1!$O$7,"Z",IF([2]Arkusz1!O25=[2]Arkusz1!$O$15,"Ix3",IF([2]Arkusz1!O25=[2]Arkusz1!$O$20,"Ix1","Ix2")))</f>
        <v>Z</v>
      </c>
      <c r="V21" s="4">
        <f>[2]Arkusz1!AM25</f>
        <v>64</v>
      </c>
      <c r="W21" s="4" t="str">
        <f>[2]Arkusz1!AB25</f>
        <v>wrzesień 2025</v>
      </c>
      <c r="X21" s="4" t="str">
        <f>_xlfn.TEXTBEFORE([2]Arkusz1!AC25," (")</f>
        <v>maj 2026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I21" s="4" t="s">
        <v>320</v>
      </c>
      <c r="AJ21" s="4" t="s">
        <v>307</v>
      </c>
      <c r="AK21" s="4" t="s">
        <v>321</v>
      </c>
      <c r="AL21" s="4">
        <v>79022707408</v>
      </c>
      <c r="AM21" s="4" t="s">
        <v>322</v>
      </c>
      <c r="AN21" s="4" t="s">
        <v>323</v>
      </c>
      <c r="AP21" s="4" t="str">
        <f>[1]Hist!$X31</f>
        <v>MARTA KUŹNIEWSKA KSIĘŻNEJ DOBRAWY 21 A</v>
      </c>
    </row>
    <row r="22" spans="1:42" x14ac:dyDescent="0.2">
      <c r="A22" s="4">
        <v>20</v>
      </c>
      <c r="B22" s="215">
        <f>[2]Arkusz1!B26</f>
        <v>45841.861076388886</v>
      </c>
      <c r="C22" s="44" t="str">
        <f>_xlfn.CONCAT([2]Arkusz1!G26," ",[2]Arkusz1!H26)</f>
        <v>Kamila Truszczyńska</v>
      </c>
      <c r="D22" s="4" t="str">
        <f>_xlfn.XLOOKUP(H22,[4]Sheet1!$I$2:$I$40,[4]Sheet1!$Y$2:$Y$40,,2,1)</f>
        <v>13-306 Kurzętnik</v>
      </c>
      <c r="E22" s="4" t="str">
        <f>_xlfn.XLOOKUP(H22,[4]Sheet1!$I$2:$I$40,[4]Sheet1!$K$2:$K$40,,2,1)</f>
        <v>Kopernika 12</v>
      </c>
      <c r="F22" s="218">
        <f>_xlfn.XLOOKUP(H22,[4]Sheet1!$I$2:$I$40,[4]Sheet1!$J$2:$J$40,,2,1)</f>
        <v>83071709281</v>
      </c>
      <c r="G22" s="4" t="str">
        <f>[2]Arkusz1!I26</f>
        <v>+48 604 922 512</v>
      </c>
      <c r="H22" s="4" t="str">
        <f>[2]Arkusz1!J26</f>
        <v>kamila.o@wp.pl</v>
      </c>
      <c r="I22" s="213" t="str">
        <f>_xlfn.CONCAT([2]Arkusz1!C26," ",[2]Arkusz1!D26)</f>
        <v>Miłosz Truszczyński</v>
      </c>
      <c r="J22" s="216">
        <f ca="1">IF(DATEDIF([2]Arkusz1!S26,TODAY(),"Y")&gt;21,0,DATEDIF([2]Arkusz1!S26,TODAY(),"Y"))</f>
        <v>12</v>
      </c>
      <c r="K22" s="4" t="str">
        <f>[2]Arkusz1!T26</f>
        <v>Podstawowa</v>
      </c>
      <c r="L22" s="216">
        <f>[2]Arkusz1!U26</f>
        <v>5</v>
      </c>
      <c r="M22" s="4" t="str">
        <f>[2]Arkusz1!P26</f>
        <v>Język angielski</v>
      </c>
      <c r="N22" s="4">
        <f>[2]Arkusz1!Q26</f>
        <v>0</v>
      </c>
      <c r="O22" s="4" t="str">
        <f>[2]Arkusz1!V26</f>
        <v>Tak (lub kolejny członek rodziny)</v>
      </c>
      <c r="P22" s="4">
        <f t="shared" si="0"/>
        <v>2</v>
      </c>
      <c r="Q22" s="4" t="str">
        <f>[2]Arkusz1!Y26</f>
        <v>040/2025</v>
      </c>
      <c r="R22" s="4" t="s">
        <v>64</v>
      </c>
      <c r="S22" s="4" t="s">
        <v>65</v>
      </c>
      <c r="T22" s="4">
        <f>[2]Arkusz1!AA26</f>
        <v>15</v>
      </c>
      <c r="U22" s="4" t="str">
        <f>IF([2]Arkusz1!O26=[2]Arkusz1!$O$7,"Z",IF([2]Arkusz1!O26=[2]Arkusz1!$O$15,"Ix3",IF([2]Arkusz1!O26=[2]Arkusz1!$O$20,"Ix1","Ix2")))</f>
        <v>Z</v>
      </c>
      <c r="V22" s="4">
        <f>[2]Arkusz1!AM26</f>
        <v>64</v>
      </c>
      <c r="W22" s="4" t="str">
        <f>[2]Arkusz1!AB26</f>
        <v>wrzesień 2025</v>
      </c>
      <c r="X22" s="4" t="str">
        <f>[2]Arkusz1!AC26</f>
        <v>czerwiec 2026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I22" s="4" t="s">
        <v>324</v>
      </c>
      <c r="AJ22" s="4" t="s">
        <v>325</v>
      </c>
      <c r="AK22" s="4" t="s">
        <v>326</v>
      </c>
      <c r="AL22" s="4">
        <v>83071709281</v>
      </c>
      <c r="AM22" s="4" t="s">
        <v>327</v>
      </c>
      <c r="AN22" s="4" t="s">
        <v>328</v>
      </c>
      <c r="AP22" s="4" t="str">
        <f>[1]Hist!$X32</f>
        <v>MAREK KLIMIK PIASTOWSKA 6/38 6/38</v>
      </c>
    </row>
    <row r="23" spans="1:42" x14ac:dyDescent="0.2">
      <c r="A23" s="4">
        <v>21</v>
      </c>
      <c r="B23" s="215">
        <f>[2]Arkusz1!B27</f>
        <v>45841.867152777777</v>
      </c>
      <c r="C23" s="44" t="str">
        <f>_xlfn.CONCAT([2]Arkusz1!G27," ",[2]Arkusz1!H27)</f>
        <v>Kamila Truszczyńska</v>
      </c>
      <c r="D23" s="4" t="str">
        <f>_xlfn.XLOOKUP(H23,[4]Sheet1!$I$2:$I$40,[4]Sheet1!$Y$2:$Y$40,,2,1)</f>
        <v>13-306 Kurzętnik</v>
      </c>
      <c r="E23" s="4" t="str">
        <f>_xlfn.XLOOKUP(H23,[4]Sheet1!$I$2:$I$40,[4]Sheet1!$K$2:$K$40,,2,1)</f>
        <v>Kopernika 12</v>
      </c>
      <c r="F23" s="218">
        <f>_xlfn.XLOOKUP(H23,[4]Sheet1!$I$2:$I$40,[4]Sheet1!$J$2:$J$40,,2,1)</f>
        <v>83071709281</v>
      </c>
      <c r="G23" s="4" t="str">
        <f>[2]Arkusz1!I27</f>
        <v>+48 604 922 512</v>
      </c>
      <c r="H23" s="4" t="str">
        <f>[2]Arkusz1!J27</f>
        <v>kamila.o@wp.pl</v>
      </c>
      <c r="I23" s="213" t="str">
        <f>_xlfn.CONCAT([2]Arkusz1!C27," ",[2]Arkusz1!D27)</f>
        <v>Milena Truszczyńska</v>
      </c>
      <c r="J23" s="216">
        <f ca="1">IF(DATEDIF([2]Arkusz1!S27,TODAY(),"Y")&gt;21,0,DATEDIF([2]Arkusz1!S27,TODAY(),"Y"))</f>
        <v>8</v>
      </c>
      <c r="K23" s="4" t="str">
        <f>[2]Arkusz1!T27</f>
        <v>Podstawowa</v>
      </c>
      <c r="L23" s="216">
        <f>[2]Arkusz1!U27</f>
        <v>1</v>
      </c>
      <c r="M23" s="4" t="str">
        <f>[2]Arkusz1!P27</f>
        <v>Język angielski</v>
      </c>
      <c r="N23" s="4">
        <f>[2]Arkusz1!Q27</f>
        <v>0</v>
      </c>
      <c r="O23" s="4" t="str">
        <f>[2]Arkusz1!V27</f>
        <v>Tak (lub kolejny członek rodziny)</v>
      </c>
      <c r="P23" s="4">
        <f t="shared" si="0"/>
        <v>2</v>
      </c>
      <c r="Q23" s="4">
        <f>[2]Arkusz1!Y27</f>
        <v>0</v>
      </c>
      <c r="R23" s="4" t="s">
        <v>64</v>
      </c>
      <c r="S23" s="4" t="s">
        <v>65</v>
      </c>
      <c r="T23" s="4">
        <f>[2]Arkusz1!AA27</f>
        <v>15</v>
      </c>
      <c r="U23" s="4" t="str">
        <f>IF([2]Arkusz1!O27=[2]Arkusz1!$O$7,"Z",IF([2]Arkusz1!O27=[2]Arkusz1!$O$15,"Ix3",IF([2]Arkusz1!O27=[2]Arkusz1!$O$20,"Ix1","Ix2")))</f>
        <v>Ix2</v>
      </c>
      <c r="V23" s="4">
        <f>[2]Arkusz1!AM27</f>
        <v>64</v>
      </c>
      <c r="W23" s="4" t="str">
        <f>[2]Arkusz1!AB27</f>
        <v>wrzesień 2025</v>
      </c>
      <c r="X23" s="4" t="str">
        <f>[2]Arkusz1!AC27</f>
        <v>czerwiec 2026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I23" s="4" t="s">
        <v>324</v>
      </c>
      <c r="AJ23" s="4" t="s">
        <v>325</v>
      </c>
      <c r="AK23" s="4" t="s">
        <v>326</v>
      </c>
      <c r="AL23" s="4">
        <v>83071709281</v>
      </c>
      <c r="AM23" s="4" t="s">
        <v>327</v>
      </c>
      <c r="AN23" s="4" t="s">
        <v>328</v>
      </c>
      <c r="AP23" s="4" t="str">
        <f>[1]Hist!$X33</f>
        <v xml:space="preserve">ANNA WARMIŃSKA </v>
      </c>
    </row>
    <row r="24" spans="1:42" x14ac:dyDescent="0.2">
      <c r="A24" s="4">
        <v>22</v>
      </c>
      <c r="B24" s="215">
        <f>[2]Arkusz1!B28</f>
        <v>45845.42827546296</v>
      </c>
      <c r="C24" s="44" t="str">
        <f>_xlfn.CONCAT([2]Arkusz1!G28," ",[2]Arkusz1!H28)</f>
        <v>Edyta Bylińska</v>
      </c>
      <c r="D24" s="4" t="s">
        <v>301</v>
      </c>
      <c r="E24" s="4" t="str">
        <f>_xlfn.XLOOKUP(H24,[4]Sheet1!$I$2:$I$40,[4]Sheet1!$K$2:$K$40,,2,1)</f>
        <v>Krokusowa 3</v>
      </c>
      <c r="F24" s="218">
        <f>_xlfn.XLOOKUP(H24,[4]Sheet1!$I$2:$I$40,[4]Sheet1!$J$2:$J$40,,2,1)</f>
        <v>73112907983</v>
      </c>
      <c r="G24" s="4" t="str">
        <f>[2]Arkusz1!I28</f>
        <v>+48 605 168 467</v>
      </c>
      <c r="H24" s="4" t="str">
        <f>[2]Arkusz1!J28</f>
        <v>edysia324@wp.pl</v>
      </c>
      <c r="I24" s="213" t="str">
        <f>_xlfn.CONCAT([2]Arkusz1!C28," ",[2]Arkusz1!D28)</f>
        <v>Olivier Jaśkiewicz</v>
      </c>
      <c r="J24" s="216">
        <f ca="1">IF(DATEDIF([2]Arkusz1!S28,TODAY(),"Y")&gt;21,0,DATEDIF([2]Arkusz1!S28,TODAY(),"Y"))</f>
        <v>0</v>
      </c>
      <c r="K24" s="4">
        <f>[2]Arkusz1!T28</f>
        <v>0</v>
      </c>
      <c r="L24" s="216">
        <f>[2]Arkusz1!U28</f>
        <v>0</v>
      </c>
      <c r="M24" s="4" t="str">
        <f>[2]Arkusz1!P28</f>
        <v>Język angielski</v>
      </c>
      <c r="N24" s="4" t="str">
        <f>[2]Arkusz1!Q28</f>
        <v>Maturalny</v>
      </c>
      <c r="O24" s="4" t="str">
        <f>[2]Arkusz1!V28</f>
        <v>Tak (lub kolejny członek rodziny)</v>
      </c>
      <c r="P24" s="4">
        <f t="shared" si="0"/>
        <v>1</v>
      </c>
      <c r="Q24" s="4" t="str">
        <f>[2]Arkusz1!Y28</f>
        <v>061/2025</v>
      </c>
      <c r="R24" s="4" t="s">
        <v>64</v>
      </c>
      <c r="S24" s="4" t="s">
        <v>65</v>
      </c>
      <c r="T24" s="4">
        <f>[2]Arkusz1!AA28</f>
        <v>15</v>
      </c>
      <c r="U24" s="4" t="str">
        <f>IF([2]Arkusz1!O28=[2]Arkusz1!$O$7,"Z",IF([2]Arkusz1!O28=[2]Arkusz1!$O$15,"Ix3",IF([2]Arkusz1!O28=[2]Arkusz1!$O$20,"Ix1","Ix2")))</f>
        <v>Z</v>
      </c>
      <c r="V24" s="4">
        <f>[2]Arkusz1!AM28</f>
        <v>64</v>
      </c>
      <c r="W24" s="4" t="str">
        <f>[2]Arkusz1!AB28</f>
        <v>wrzesień 2025</v>
      </c>
      <c r="X24" s="4" t="str">
        <f>_xlfn.TEXTBEFORE([2]Arkusz1!AC28," (")</f>
        <v>maj 2026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I24" s="4" t="s">
        <v>329</v>
      </c>
      <c r="AJ24" s="4" t="s">
        <v>301</v>
      </c>
      <c r="AK24" s="4" t="s">
        <v>330</v>
      </c>
      <c r="AL24" s="4">
        <v>73112907983</v>
      </c>
      <c r="AM24" s="4" t="s">
        <v>331</v>
      </c>
      <c r="AN24" s="4" t="s">
        <v>332</v>
      </c>
      <c r="AP24" s="4" t="str">
        <f>[1]Hist!$X34</f>
        <v>EMILIA MARIA PIECUCH</v>
      </c>
    </row>
    <row r="25" spans="1:42" x14ac:dyDescent="0.2">
      <c r="A25" s="4">
        <v>23</v>
      </c>
      <c r="B25" s="215">
        <f>[2]Arkusz1!B29</f>
        <v>45845.639467592591</v>
      </c>
      <c r="C25" s="44" t="str">
        <f>_xlfn.CONCAT([2]Arkusz1!G29," ",[2]Arkusz1!H29)</f>
        <v>Marzena Szymańska</v>
      </c>
      <c r="D25" s="4" t="str">
        <f>AJ25</f>
        <v xml:space="preserve">14-260 Lubawa </v>
      </c>
      <c r="E25" s="4" t="str">
        <f>AK25</f>
        <v>SAMPŁAWA 40</v>
      </c>
      <c r="F25" s="218">
        <f>AL25</f>
        <v>11282801845</v>
      </c>
      <c r="G25" s="4" t="str">
        <f>[2]Arkusz1!I29</f>
        <v>+48 515 241 447</v>
      </c>
      <c r="H25" s="4" t="str">
        <f>[2]Arkusz1!J29</f>
        <v>marzena270609@wp.pl</v>
      </c>
      <c r="I25" s="213" t="str">
        <f>_xlfn.CONCAT([2]Arkusz1!C29," ",[2]Arkusz1!D29)</f>
        <v>Milena Szymańska</v>
      </c>
      <c r="J25" s="216">
        <f ca="1">IF(DATEDIF([2]Arkusz1!S29,TODAY(),"Y")&gt;21,0,DATEDIF([2]Arkusz1!S29,TODAY(),"Y"))</f>
        <v>14</v>
      </c>
      <c r="K25" s="4" t="str">
        <f>[2]Arkusz1!T29</f>
        <v>Podstawowa</v>
      </c>
      <c r="L25" s="216">
        <f>[2]Arkusz1!U29</f>
        <v>8</v>
      </c>
      <c r="M25" s="4" t="str">
        <f>[2]Arkusz1!P29</f>
        <v>Język angielski</v>
      </c>
      <c r="N25" s="4" t="str">
        <f>[2]Arkusz1!Q29</f>
        <v>Ósmoklasisty</v>
      </c>
      <c r="O25" s="4" t="str">
        <f>[2]Arkusz1!V29</f>
        <v>Tak (lub kolejny członek rodziny)</v>
      </c>
      <c r="P25" s="4">
        <f t="shared" si="0"/>
        <v>1</v>
      </c>
      <c r="Q25" s="4" t="str">
        <f>[2]Arkusz1!Y29</f>
        <v>002/2025</v>
      </c>
      <c r="R25" s="4" t="s">
        <v>64</v>
      </c>
      <c r="S25" s="4" t="s">
        <v>65</v>
      </c>
      <c r="T25" s="4">
        <f>[2]Arkusz1!AA29</f>
        <v>15</v>
      </c>
      <c r="U25" s="4" t="str">
        <f>IF([2]Arkusz1!O29=[2]Arkusz1!$O$7,"Z",IF([2]Arkusz1!O29=[2]Arkusz1!$O$15,"Ix3",IF([2]Arkusz1!O29=[2]Arkusz1!$O$20,"Ix1","Ix2")))</f>
        <v>Z</v>
      </c>
      <c r="V25" s="4">
        <f>[2]Arkusz1!AM29</f>
        <v>64</v>
      </c>
      <c r="W25" s="4" t="str">
        <f>[2]Arkusz1!AB29</f>
        <v>wrzesień 2025</v>
      </c>
      <c r="X25" s="4" t="str">
        <f>_xlfn.TEXTBEFORE([2]Arkusz1!AC29," (")</f>
        <v>maj 2026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I25" s="4" t="s">
        <v>333</v>
      </c>
      <c r="AJ25" s="4" t="s">
        <v>280</v>
      </c>
      <c r="AK25" s="4" t="s">
        <v>334</v>
      </c>
      <c r="AL25" s="4">
        <v>11282801845</v>
      </c>
      <c r="AM25" s="4" t="s">
        <v>335</v>
      </c>
      <c r="AN25" s="4" t="s">
        <v>336</v>
      </c>
      <c r="AP25" s="4" t="str">
        <f>[1]Hist!$X35</f>
        <v xml:space="preserve">ŁUKASZ NOWAK </v>
      </c>
    </row>
    <row r="26" spans="1:42" x14ac:dyDescent="0.2">
      <c r="A26" s="4">
        <v>24</v>
      </c>
      <c r="B26" s="215">
        <f>[2]Arkusz1!B30</f>
        <v>45845.719270833331</v>
      </c>
      <c r="C26" s="44" t="str">
        <f>_xlfn.CONCAT([2]Arkusz1!G30," ",[2]Arkusz1!H30)</f>
        <v>Joanna Klimik</v>
      </c>
      <c r="D26" s="4" t="str">
        <f>_xlfn.XLOOKUP(H26,[4]Sheet1!$I$2:$I$40,[4]Sheet1!$Y$2:$Y$40,,2,1)</f>
        <v>14-200 Iława</v>
      </c>
      <c r="E26" s="4" t="str">
        <f>_xlfn.XLOOKUP(H26,[4]Sheet1!$I$2:$I$40,[4]Sheet1!$K$2:$K$40,,2,1)</f>
        <v>Kościuszki 5A/F13</v>
      </c>
      <c r="F26" s="218">
        <f>_xlfn.XLOOKUP(H26,[4]Sheet1!$I$2:$I$40,[4]Sheet1!$J$2:$J$40,,2,1)</f>
        <v>82080614928</v>
      </c>
      <c r="G26" s="4" t="str">
        <f>[2]Arkusz1!I30</f>
        <v>+48 510 990 460</v>
      </c>
      <c r="H26" s="4" t="str">
        <f>[2]Arkusz1!J30</f>
        <v>klimikjoanna@gmail.com</v>
      </c>
      <c r="I26" s="213" t="str">
        <f>_xlfn.CONCAT([2]Arkusz1!C30," ",[2]Arkusz1!D30)</f>
        <v>Jakub Klimik</v>
      </c>
      <c r="J26" s="216">
        <f ca="1">IF(DATEDIF([2]Arkusz1!S30,TODAY(),"Y")&gt;21,0,DATEDIF([2]Arkusz1!S30,TODAY(),"Y"))</f>
        <v>16</v>
      </c>
      <c r="K26" s="4" t="str">
        <f>[2]Arkusz1!T30</f>
        <v>Średnia - liceum</v>
      </c>
      <c r="L26" s="216">
        <f>[2]Arkusz1!U30</f>
        <v>3</v>
      </c>
      <c r="M26" s="4" t="str">
        <f>[2]Arkusz1!P30</f>
        <v>Język angielski</v>
      </c>
      <c r="N26" s="4">
        <f>[2]Arkusz1!Q30</f>
        <v>0</v>
      </c>
      <c r="O26" s="4" t="str">
        <f>[2]Arkusz1!V30</f>
        <v>Tak (lub kolejny członek rodziny)</v>
      </c>
      <c r="P26" s="4">
        <f t="shared" si="0"/>
        <v>2</v>
      </c>
      <c r="Q26" s="4">
        <f>[2]Arkusz1!Y30</f>
        <v>0</v>
      </c>
      <c r="R26" s="4" t="s">
        <v>64</v>
      </c>
      <c r="S26" s="4" t="s">
        <v>65</v>
      </c>
      <c r="T26" s="4">
        <f>[2]Arkusz1!AA30</f>
        <v>15</v>
      </c>
      <c r="U26" s="4" t="str">
        <f>IF([2]Arkusz1!O30=[2]Arkusz1!$O$7,"Z",IF([2]Arkusz1!O30=[2]Arkusz1!$O$15,"Ix3",IF([2]Arkusz1!O30=[2]Arkusz1!$O$20,"Ix1","Ix2")))</f>
        <v>Z</v>
      </c>
      <c r="V26" s="4">
        <f>[2]Arkusz1!AM30</f>
        <v>58</v>
      </c>
      <c r="W26" s="4" t="str">
        <f>[2]Arkusz1!AB30</f>
        <v>wrzesień 2025</v>
      </c>
      <c r="X26" s="4" t="str">
        <f>[2]Arkusz1!AC30</f>
        <v>czerwiec 2026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I26" s="4" t="s">
        <v>337</v>
      </c>
      <c r="AJ26" s="4" t="s">
        <v>248</v>
      </c>
      <c r="AK26" s="4" t="s">
        <v>338</v>
      </c>
      <c r="AL26" s="4">
        <v>82080614928</v>
      </c>
      <c r="AM26" s="4" t="s">
        <v>339</v>
      </c>
      <c r="AN26" s="4" t="s">
        <v>340</v>
      </c>
      <c r="AP26" s="4" t="str">
        <f>[1]Hist!$X36</f>
        <v>MONIKA SZEFLER OBROŃCÓW WESTERPLATTE 2/11</v>
      </c>
    </row>
    <row r="27" spans="1:42" x14ac:dyDescent="0.2">
      <c r="A27" s="4">
        <v>25</v>
      </c>
      <c r="B27" s="215">
        <f>[2]Arkusz1!B31</f>
        <v>45845.723101851851</v>
      </c>
      <c r="C27" s="44" t="str">
        <f>_xlfn.CONCAT([2]Arkusz1!G31," ",[2]Arkusz1!H31)</f>
        <v>Joanna Klimik</v>
      </c>
      <c r="D27" s="4" t="str">
        <f>_xlfn.XLOOKUP(H27,[4]Sheet1!$I$2:$I$40,[4]Sheet1!$Y$2:$Y$40,,2,1)</f>
        <v>14-200 Iława</v>
      </c>
      <c r="E27" s="4" t="str">
        <f>_xlfn.XLOOKUP(H27,[4]Sheet1!$I$2:$I$40,[4]Sheet1!$K$2:$K$40,,2,1)</f>
        <v>Kościuszki 5A/F13</v>
      </c>
      <c r="F27" s="218">
        <f>_xlfn.XLOOKUP(H27,[4]Sheet1!$I$2:$I$40,[4]Sheet1!$J$2:$J$40,,2,1)</f>
        <v>82080614928</v>
      </c>
      <c r="G27" s="4" t="str">
        <f>[2]Arkusz1!I31</f>
        <v>+48 510 990 460</v>
      </c>
      <c r="H27" s="4" t="str">
        <f>[2]Arkusz1!J31</f>
        <v>klimikjoanna@gmail.com</v>
      </c>
      <c r="I27" s="213" t="str">
        <f>_xlfn.CONCAT([2]Arkusz1!C31," ",[2]Arkusz1!D31)</f>
        <v>Tymoteusz Klimik</v>
      </c>
      <c r="J27" s="216">
        <f ca="1">IF(DATEDIF([2]Arkusz1!S31,TODAY(),"Y")&gt;21,0,DATEDIF([2]Arkusz1!S31,TODAY(),"Y"))</f>
        <v>12</v>
      </c>
      <c r="K27" s="4" t="str">
        <f>[2]Arkusz1!T31</f>
        <v>Podstawowa</v>
      </c>
      <c r="L27" s="216">
        <f>[2]Arkusz1!U31</f>
        <v>6</v>
      </c>
      <c r="M27" s="4" t="str">
        <f>[2]Arkusz1!P31</f>
        <v>Język angielski</v>
      </c>
      <c r="N27" s="4" t="str">
        <f>[2]Arkusz1!Q31</f>
        <v>Ósmoklasisty</v>
      </c>
      <c r="O27" s="4" t="str">
        <f>[2]Arkusz1!V31</f>
        <v>Nie</v>
      </c>
      <c r="P27" s="4">
        <f t="shared" si="0"/>
        <v>2</v>
      </c>
      <c r="Q27" s="4">
        <f>[2]Arkusz1!Y31</f>
        <v>0</v>
      </c>
      <c r="R27" s="4" t="s">
        <v>64</v>
      </c>
      <c r="S27" s="4" t="s">
        <v>65</v>
      </c>
      <c r="T27" s="4">
        <f>[2]Arkusz1!AA31</f>
        <v>15</v>
      </c>
      <c r="U27" s="4" t="str">
        <f>IF([2]Arkusz1!O31=[2]Arkusz1!$O$7,"Z",IF([2]Arkusz1!O31=[2]Arkusz1!$O$15,"Ix3",IF([2]Arkusz1!O31=[2]Arkusz1!$O$20,"Ix1","Ix2")))</f>
        <v>Z</v>
      </c>
      <c r="V27" s="4">
        <f>[2]Arkusz1!AM31</f>
        <v>58</v>
      </c>
      <c r="W27" s="4" t="str">
        <f>[2]Arkusz1!AB31</f>
        <v>wrzesień 2025</v>
      </c>
      <c r="X27" s="4" t="str">
        <f>[2]Arkusz1!AC31</f>
        <v>czerwiec 2026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I27" s="4" t="s">
        <v>337</v>
      </c>
      <c r="AJ27" s="4" t="s">
        <v>248</v>
      </c>
      <c r="AK27" s="4" t="s">
        <v>338</v>
      </c>
      <c r="AL27" s="4">
        <v>82080614928</v>
      </c>
      <c r="AM27" s="4" t="s">
        <v>341</v>
      </c>
      <c r="AN27" s="4" t="s">
        <v>340</v>
      </c>
      <c r="AP27" s="4" t="str">
        <f>[1]Hist!$X37</f>
        <v>ŁUKASZ NOWAK</v>
      </c>
    </row>
    <row r="28" spans="1:42" x14ac:dyDescent="0.2">
      <c r="A28" s="4">
        <v>26</v>
      </c>
      <c r="B28" s="215">
        <f>[2]Arkusz1!B32</f>
        <v>45845.811990740738</v>
      </c>
      <c r="C28" s="44" t="str">
        <f>_xlfn.CONCAT([2]Arkusz1!G32," ",[2]Arkusz1!H32)</f>
        <v>Magdalena Błaszkowska</v>
      </c>
      <c r="D28" s="4" t="str">
        <f>_xlfn.XLOOKUP(H28,[4]Sheet1!$I$2:$I$40,[4]Sheet1!$Y$2:$Y$40,,2,1)</f>
        <v>14-200 Iława</v>
      </c>
      <c r="E28" s="4" t="str">
        <f>_xlfn.XLOOKUP(H28,[4]Sheet1!$I$2:$I$40,[4]Sheet1!$K$2:$K$40,,2,1)</f>
        <v>Kościuszki 35A/28</v>
      </c>
      <c r="F28" s="218">
        <f>_xlfn.XLOOKUP(H28,[4]Sheet1!$I$2:$I$40,[4]Sheet1!$J$2:$J$40,,2,1)</f>
        <v>77110610582</v>
      </c>
      <c r="G28" s="4" t="str">
        <f>[2]Arkusz1!I32</f>
        <v>+48 502 174 080</v>
      </c>
      <c r="H28" s="4" t="str">
        <f>[2]Arkusz1!J32</f>
        <v>magblasz@interia.pl</v>
      </c>
      <c r="I28" s="213" t="str">
        <f>_xlfn.CONCAT([2]Arkusz1!C32," ",[2]Arkusz1!D32)</f>
        <v>Marcel Błaszkowski</v>
      </c>
      <c r="J28" s="216">
        <f ca="1">IF(DATEDIF([2]Arkusz1!S32,TODAY(),"Y")&gt;21,0,DATEDIF([2]Arkusz1!S32,TODAY(),"Y"))</f>
        <v>17</v>
      </c>
      <c r="K28" s="4" t="str">
        <f>[2]Arkusz1!T32</f>
        <v>Średnia - liceum</v>
      </c>
      <c r="L28" s="216">
        <f>[2]Arkusz1!U32</f>
        <v>3</v>
      </c>
      <c r="M28" s="4" t="str">
        <f>[2]Arkusz1!P32</f>
        <v>Język angielski</v>
      </c>
      <c r="N28" s="4">
        <f>[2]Arkusz1!Q32</f>
        <v>0</v>
      </c>
      <c r="O28" s="4" t="str">
        <f>[2]Arkusz1!V32</f>
        <v>Tak (lub kolejny członek rodziny)</v>
      </c>
      <c r="P28" s="4">
        <f t="shared" si="0"/>
        <v>1</v>
      </c>
      <c r="Q28" s="4" t="str">
        <f>[2]Arkusz1!Y32</f>
        <v>068/2025</v>
      </c>
      <c r="R28" s="4" t="s">
        <v>64</v>
      </c>
      <c r="S28" s="4" t="s">
        <v>65</v>
      </c>
      <c r="T28" s="4">
        <f>[2]Arkusz1!AA32</f>
        <v>25</v>
      </c>
      <c r="U28" s="4" t="str">
        <f>IF([2]Arkusz1!O32=[2]Arkusz1!$O$7,"Z",IF([2]Arkusz1!O32=[2]Arkusz1!$O$15,"Ix3",IF([2]Arkusz1!O32=[2]Arkusz1!$O$20,"Ix1","Ix2")))</f>
        <v>Z</v>
      </c>
      <c r="V28" s="4">
        <f>[2]Arkusz1!AM32</f>
        <v>64</v>
      </c>
      <c r="W28" s="4" t="str">
        <f>[2]Arkusz1!AB32</f>
        <v>wrzesień 2025</v>
      </c>
      <c r="X28" s="4" t="str">
        <f>_xlfn.TEXTBEFORE([2]Arkusz1!AC32," (")</f>
        <v>maj 2026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I28" s="4" t="s">
        <v>342</v>
      </c>
      <c r="AJ28" s="4" t="s">
        <v>248</v>
      </c>
      <c r="AK28" s="4" t="s">
        <v>343</v>
      </c>
      <c r="AL28" s="4">
        <v>77110610582</v>
      </c>
      <c r="AM28" s="4" t="s">
        <v>344</v>
      </c>
      <c r="AN28" s="4" t="s">
        <v>345</v>
      </c>
      <c r="AP28" s="4" t="str">
        <f>[1]Hist!$X38</f>
        <v>ILONA TERESA PATURALSKA</v>
      </c>
    </row>
    <row r="29" spans="1:42" x14ac:dyDescent="0.2">
      <c r="A29" s="4">
        <v>27</v>
      </c>
      <c r="B29" s="215">
        <f>[2]Arkusz1!B33</f>
        <v>45846.47179398148</v>
      </c>
      <c r="C29" s="44" t="str">
        <f>_xlfn.CONCAT([2]Arkusz1!G33," ",[2]Arkusz1!H33)</f>
        <v>Beata Kuhnwald</v>
      </c>
      <c r="D29" s="4" t="str">
        <f>_xlfn.XLOOKUP(H29,[4]Sheet1!$I$2:$I$40,[4]Sheet1!$Y$2:$Y$40,,2,1)</f>
        <v xml:space="preserve">14-260 Lubawa </v>
      </c>
      <c r="E29" s="4" t="str">
        <f>_xlfn.XLOOKUP(H29,[4]Sheet1!$I$2:$I$40,[4]Sheet1!$K$2:$K$40,,2,1)</f>
        <v>Samplawa 57</v>
      </c>
      <c r="F29" s="218">
        <f>_xlfn.XLOOKUP(H29,[4]Sheet1!$I$2:$I$40,[4]Sheet1!$J$2:$J$40,,2,1)</f>
        <v>81020212666</v>
      </c>
      <c r="G29" s="4" t="str">
        <f>[2]Arkusz1!I33</f>
        <v>+48 698 028 045</v>
      </c>
      <c r="H29" s="4" t="str">
        <f>[2]Arkusz1!J33</f>
        <v>beatakuhnwald@gmail.com</v>
      </c>
      <c r="I29" s="213" t="str">
        <f>_xlfn.CONCAT([2]Arkusz1!C33," ",[2]Arkusz1!D33)</f>
        <v>Julia Kuhnwald</v>
      </c>
      <c r="J29" s="216">
        <f ca="1">IF(DATEDIF([2]Arkusz1!S33,TODAY(),"Y")&gt;21,0,DATEDIF([2]Arkusz1!S33,TODAY(),"Y"))</f>
        <v>15</v>
      </c>
      <c r="K29" s="4" t="str">
        <f>[2]Arkusz1!T33</f>
        <v>Podstawowa</v>
      </c>
      <c r="L29" s="216">
        <f>[2]Arkusz1!U33</f>
        <v>8</v>
      </c>
      <c r="M29" s="4" t="str">
        <f>[2]Arkusz1!P33</f>
        <v>Język angielski</v>
      </c>
      <c r="N29" s="4" t="str">
        <f>[2]Arkusz1!Q33</f>
        <v>Ósmoklasisty</v>
      </c>
      <c r="O29" s="4" t="str">
        <f>[2]Arkusz1!V33</f>
        <v>Tak (lub kolejny członek rodziny)</v>
      </c>
      <c r="P29" s="4">
        <f t="shared" si="0"/>
        <v>2</v>
      </c>
      <c r="Q29" s="4" t="str">
        <f>[2]Arkusz1!Y33</f>
        <v>001/2025</v>
      </c>
      <c r="R29" s="4" t="s">
        <v>64</v>
      </c>
      <c r="S29" s="4" t="s">
        <v>65</v>
      </c>
      <c r="T29" s="4">
        <f>[2]Arkusz1!AA33</f>
        <v>15</v>
      </c>
      <c r="U29" s="4" t="str">
        <f>IF([2]Arkusz1!O33=[2]Arkusz1!$O$7,"Z",IF([2]Arkusz1!O33=[2]Arkusz1!$O$15,"Ix3",IF([2]Arkusz1!O33=[2]Arkusz1!$O$20,"Ix1","Ix2")))</f>
        <v>Z</v>
      </c>
      <c r="V29" s="4">
        <f>[2]Arkusz1!AM33</f>
        <v>64</v>
      </c>
      <c r="W29" s="4" t="str">
        <f>[2]Arkusz1!AB33</f>
        <v>wrzesień 2025</v>
      </c>
      <c r="X29" s="4" t="str">
        <f>_xlfn.TEXTBEFORE([2]Arkusz1!AC33," (")</f>
        <v>maj 2026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I29" s="4" t="s">
        <v>279</v>
      </c>
      <c r="AJ29" s="4" t="s">
        <v>280</v>
      </c>
      <c r="AK29" s="4" t="s">
        <v>281</v>
      </c>
      <c r="AL29" s="4">
        <v>81020212666</v>
      </c>
      <c r="AM29" s="4" t="s">
        <v>282</v>
      </c>
      <c r="AN29" s="4" t="s">
        <v>283</v>
      </c>
      <c r="AP29" s="4" t="str">
        <f>[1]Hist!$X39</f>
        <v>TOMASZ TYC</v>
      </c>
    </row>
    <row r="30" spans="1:42" x14ac:dyDescent="0.2">
      <c r="A30" s="4">
        <v>28</v>
      </c>
      <c r="B30" s="215">
        <f>[2]Arkusz1!B34</f>
        <v>45848.910208333335</v>
      </c>
      <c r="C30" s="44" t="str">
        <f>_xlfn.CONCAT([2]Arkusz1!G34," ",[2]Arkusz1!H34)</f>
        <v>Barbara Jastrzebska</v>
      </c>
      <c r="D30" s="4" t="str">
        <f>_xlfn.XLOOKUP(H30,[4]Sheet1!$I$2:$I$40,[4]Sheet1!$Y$2:$Y$40,,2,1)</f>
        <v xml:space="preserve">13-324 Mroczenko </v>
      </c>
      <c r="E30" s="4" t="str">
        <f>_xlfn.XLOOKUP(H30,[4]Sheet1!$I$2:$I$40,[4]Sheet1!$K$2:$K$40,,2,1)</f>
        <v xml:space="preserve">Mroczenko 37 </v>
      </c>
      <c r="F30" s="218">
        <f>_xlfn.XLOOKUP(H30,[4]Sheet1!$I$2:$I$40,[4]Sheet1!$J$2:$J$40,,2,1)</f>
        <v>71082412108</v>
      </c>
      <c r="G30" s="4" t="str">
        <f>[2]Arkusz1!I34</f>
        <v>+48 513 706 571</v>
      </c>
      <c r="H30" s="4" t="str">
        <f>[2]Arkusz1!J34</f>
        <v>jastrzebskabarbara09@gmail.com</v>
      </c>
      <c r="I30" s="213" t="str">
        <f>_xlfn.CONCAT([2]Arkusz1!C34," ",[2]Arkusz1!D34)</f>
        <v>Klaudia Jastrzębska</v>
      </c>
      <c r="J30" s="216">
        <f ca="1">IF(DATEDIF([2]Arkusz1!S34,TODAY(),"Y")&gt;21,0,DATEDIF([2]Arkusz1!S34,TODAY(),"Y"))</f>
        <v>17</v>
      </c>
      <c r="K30" s="4" t="str">
        <f>[2]Arkusz1!T34</f>
        <v>Średnia - liceum</v>
      </c>
      <c r="L30" s="216">
        <f>[2]Arkusz1!U34</f>
        <v>3</v>
      </c>
      <c r="M30" s="4" t="str">
        <f>[2]Arkusz1!P34</f>
        <v>Język angielski</v>
      </c>
      <c r="N30" s="4" t="str">
        <f>[2]Arkusz1!Q34</f>
        <v>Maturalny</v>
      </c>
      <c r="O30" s="4" t="str">
        <f>[2]Arkusz1!V34</f>
        <v>Tak (lub kolejny członek rodziny)</v>
      </c>
      <c r="P30" s="4">
        <f t="shared" si="0"/>
        <v>1</v>
      </c>
      <c r="Q30" s="4" t="str">
        <f>[2]Arkusz1!Y34</f>
        <v>045</v>
      </c>
      <c r="R30" s="4" t="s">
        <v>64</v>
      </c>
      <c r="S30" s="4" t="s">
        <v>65</v>
      </c>
      <c r="T30" s="4">
        <f>[2]Arkusz1!AA34</f>
        <v>15</v>
      </c>
      <c r="U30" s="4" t="str">
        <f>IF([2]Arkusz1!O34=[2]Arkusz1!$O$7,"Z",IF([2]Arkusz1!O34=[2]Arkusz1!$O$15,"Ix3",IF([2]Arkusz1!O34=[2]Arkusz1!$O$20,"Ix1","Ix2")))</f>
        <v>Ix1</v>
      </c>
      <c r="V30" s="4">
        <f>[2]Arkusz1!AM34</f>
        <v>33</v>
      </c>
      <c r="W30" s="4" t="str">
        <f>[2]Arkusz1!AB34</f>
        <v>wrzesień 2025</v>
      </c>
      <c r="X30" s="4" t="str">
        <f>[2]Arkusz1!AC34</f>
        <v>czerwiec 2026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I30" s="4" t="s">
        <v>23</v>
      </c>
      <c r="AJ30" s="4" t="s">
        <v>346</v>
      </c>
      <c r="AK30" s="4" t="s">
        <v>347</v>
      </c>
      <c r="AL30" s="4">
        <v>71082412108</v>
      </c>
      <c r="AM30" s="4" t="s">
        <v>348</v>
      </c>
      <c r="AN30" s="4" t="s">
        <v>349</v>
      </c>
      <c r="AP30" s="4" t="str">
        <f>[1]Hist!$X40</f>
        <v>BAJOR MICHAŁ</v>
      </c>
    </row>
    <row r="31" spans="1:42" x14ac:dyDescent="0.2">
      <c r="A31" s="4">
        <v>29</v>
      </c>
      <c r="B31" s="215">
        <f>[2]Arkusz1!B35</f>
        <v>45849.574803240743</v>
      </c>
      <c r="C31" s="44" t="str">
        <f>_xlfn.CONCAT([2]Arkusz1!G35," ",[2]Arkusz1!H35)</f>
        <v>Monika Nidzworska</v>
      </c>
      <c r="D31" s="4" t="str">
        <f>_xlfn.XLOOKUP(H31,[4]Sheet1!$I$2:$I$40,[4]Sheet1!$Y$2:$Y$40,,2,1)</f>
        <v>14-260 Lubawa</v>
      </c>
      <c r="E31" s="4" t="str">
        <f>_xlfn.XLOOKUP(H31,[4]Sheet1!$I$2:$I$40,[4]Sheet1!$K$2:$K$40,,2,1)</f>
        <v xml:space="preserve">Plac zamkowy 1 </v>
      </c>
      <c r="F31" s="218">
        <f>_xlfn.XLOOKUP(H31,[4]Sheet1!$I$2:$I$40,[4]Sheet1!$J$2:$J$40,,2,1)</f>
        <v>98070903789</v>
      </c>
      <c r="G31" s="4" t="str">
        <f>[2]Arkusz1!I35</f>
        <v>+48 500 222 926</v>
      </c>
      <c r="H31" s="4" t="str">
        <f>[2]Arkusz1!J35</f>
        <v>monikakazanice12@wp.pl</v>
      </c>
      <c r="I31" s="213" t="str">
        <f>_xlfn.CONCAT([2]Arkusz1!C35," ",[2]Arkusz1!D35)</f>
        <v>Monika Nidzworska</v>
      </c>
      <c r="J31" s="216">
        <f ca="1">IF(DATEDIF([2]Arkusz1!S35,TODAY(),"Y")&gt;21,0,DATEDIF([2]Arkusz1!S35,TODAY(),"Y"))</f>
        <v>0</v>
      </c>
      <c r="K31" s="4">
        <f>[2]Arkusz1!T35</f>
        <v>0</v>
      </c>
      <c r="L31" s="216">
        <f>[2]Arkusz1!U35</f>
        <v>0</v>
      </c>
      <c r="M31" s="4" t="str">
        <f>[2]Arkusz1!P35</f>
        <v>Język angielski</v>
      </c>
      <c r="N31" s="4">
        <f>[2]Arkusz1!Q35</f>
        <v>0</v>
      </c>
      <c r="O31" s="4" t="str">
        <f>[2]Arkusz1!V35</f>
        <v>Nie</v>
      </c>
      <c r="P31" s="4">
        <f t="shared" si="0"/>
        <v>1</v>
      </c>
      <c r="Q31" s="4">
        <f>[2]Arkusz1!Y35</f>
        <v>0</v>
      </c>
      <c r="R31" s="4" t="s">
        <v>64</v>
      </c>
      <c r="S31" s="4" t="s">
        <v>65</v>
      </c>
      <c r="T31" s="4">
        <f>[2]Arkusz1!AA35</f>
        <v>15</v>
      </c>
      <c r="U31" s="4" t="str">
        <f>IF([2]Arkusz1!O35=[2]Arkusz1!$O$7,"Z",IF([2]Arkusz1!O35=[2]Arkusz1!$O$15,"Ix3",IF([2]Arkusz1!O35=[2]Arkusz1!$O$20,"Ix1","Ix2")))</f>
        <v>Ix3</v>
      </c>
      <c r="V31" s="4">
        <f>[2]Arkusz1!AM35</f>
        <v>64</v>
      </c>
      <c r="W31" s="4" t="str">
        <f>[2]Arkusz1!AB35</f>
        <v>wrzesień 2025</v>
      </c>
      <c r="X31" s="4" t="str">
        <f>[2]Arkusz1!AC35</f>
        <v>sierpień 2026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I31" s="4" t="s">
        <v>350</v>
      </c>
      <c r="AJ31" s="4" t="s">
        <v>351</v>
      </c>
      <c r="AK31" s="4" t="s">
        <v>352</v>
      </c>
      <c r="AL31" s="4">
        <v>98070903789</v>
      </c>
      <c r="AM31" s="4" t="s">
        <v>353</v>
      </c>
      <c r="AN31" s="4" t="s">
        <v>354</v>
      </c>
      <c r="AP31" s="4" t="str">
        <f>[1]Hist!$X41</f>
        <v>MARZENA SZYMAŃSKA SAMPŁAWA 40</v>
      </c>
    </row>
    <row r="32" spans="1:42" x14ac:dyDescent="0.2">
      <c r="A32" s="4">
        <v>30</v>
      </c>
      <c r="B32" s="215">
        <f>[2]Arkusz1!B36</f>
        <v>45849.769618055558</v>
      </c>
      <c r="C32" s="44" t="str">
        <f>_xlfn.CONCAT([2]Arkusz1!G36," ",[2]Arkusz1!H36)</f>
        <v>Sylwia Adamska</v>
      </c>
      <c r="D32" s="4" t="str">
        <f>_xlfn.XLOOKUP(H32,[4]Sheet1!$I$2:$I$40,[4]Sheet1!$Y$2:$Y$40,,2,1)</f>
        <v>14-260 Lubawa</v>
      </c>
      <c r="E32" s="4" t="str">
        <f>_xlfn.XLOOKUP(H32,[4]Sheet1!$I$2:$I$40,[4]Sheet1!$K$2:$K$40,,2,1)</f>
        <v>Sampława 75</v>
      </c>
      <c r="F32" s="218">
        <f>_xlfn.XLOOKUP(H32,[4]Sheet1!$I$2:$I$40,[4]Sheet1!$J$2:$J$40,,2,1)</f>
        <v>91092700424</v>
      </c>
      <c r="G32" s="4" t="str">
        <f>[2]Arkusz1!I36</f>
        <v>+48 511 863 758</v>
      </c>
      <c r="H32" s="4" t="str">
        <f>[2]Arkusz1!J36</f>
        <v>sylwiacwiklinska4@wp.pl</v>
      </c>
      <c r="I32" s="213" t="str">
        <f>_xlfn.CONCAT([2]Arkusz1!C36," ",[2]Arkusz1!D36)</f>
        <v>Zuzanna Adamska</v>
      </c>
      <c r="J32" s="216">
        <f ca="1">IF(DATEDIF([2]Arkusz1!S36,TODAY(),"Y")&gt;21,0,DATEDIF([2]Arkusz1!S36,TODAY(),"Y"))</f>
        <v>10</v>
      </c>
      <c r="K32" s="4" t="str">
        <f>[2]Arkusz1!T36</f>
        <v>Podstawowa</v>
      </c>
      <c r="L32" s="216">
        <f>[2]Arkusz1!U36</f>
        <v>4</v>
      </c>
      <c r="M32" s="4" t="str">
        <f>[2]Arkusz1!P36</f>
        <v>Język angielski</v>
      </c>
      <c r="N32" s="4">
        <f>[2]Arkusz1!Q36</f>
        <v>0</v>
      </c>
      <c r="O32" s="4" t="str">
        <f>[2]Arkusz1!V36</f>
        <v>Tak (lub kolejny członek rodziny)</v>
      </c>
      <c r="P32" s="4">
        <f t="shared" si="0"/>
        <v>1</v>
      </c>
      <c r="Q32" s="4" t="str">
        <f>[2]Arkusz1!Y36</f>
        <v>036/2025</v>
      </c>
      <c r="R32" s="4" t="s">
        <v>64</v>
      </c>
      <c r="S32" s="4" t="s">
        <v>65</v>
      </c>
      <c r="T32" s="4">
        <f>[2]Arkusz1!AA36</f>
        <v>25</v>
      </c>
      <c r="U32" s="4" t="str">
        <f>IF([2]Arkusz1!O36=[2]Arkusz1!$O$7,"Z",IF([2]Arkusz1!O36=[2]Arkusz1!$O$15,"Ix3",IF([2]Arkusz1!O36=[2]Arkusz1!$O$20,"Ix1","Ix2")))</f>
        <v>Ix3</v>
      </c>
      <c r="V32" s="4">
        <f>[2]Arkusz1!AM36</f>
        <v>33</v>
      </c>
      <c r="W32" s="4" t="str">
        <f>[2]Arkusz1!AB36</f>
        <v>wrzesień 2025</v>
      </c>
      <c r="X32" s="4" t="str">
        <f>[2]Arkusz1!AC36</f>
        <v>czerwiec 2026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I32" s="4" t="s">
        <v>355</v>
      </c>
      <c r="AJ32" s="4" t="s">
        <v>351</v>
      </c>
      <c r="AK32" s="4" t="s">
        <v>356</v>
      </c>
      <c r="AL32" s="4">
        <v>91092700424</v>
      </c>
      <c r="AM32" s="4" t="s">
        <v>357</v>
      </c>
      <c r="AN32" s="4" t="s">
        <v>358</v>
      </c>
      <c r="AP32" s="4" t="str">
        <f>[1]Hist!$X42</f>
        <v>ANETA ELŻBIETA NAWORSKA</v>
      </c>
    </row>
    <row r="33" spans="1:42" x14ac:dyDescent="0.2">
      <c r="A33" s="4">
        <v>31</v>
      </c>
      <c r="B33" s="215">
        <f>[2]Arkusz1!B37</f>
        <v>45850.458715277775</v>
      </c>
      <c r="C33" s="44" t="str">
        <f>_xlfn.CONCAT([2]Arkusz1!G37," ",[2]Arkusz1!H37)</f>
        <v>Milena Gogolew</v>
      </c>
      <c r="D33" s="4" t="str">
        <f>_xlfn.XLOOKUP(H33,[4]Sheet1!$I$2:$I$40,[4]Sheet1!$Y$2:$Y$40,,2,1)</f>
        <v xml:space="preserve">14-200  Iława </v>
      </c>
      <c r="E33" s="4" t="str">
        <f>_xlfn.XLOOKUP(H33,[4]Sheet1!$I$2:$I$40,[4]Sheet1!$K$2:$K$40,,2,1)</f>
        <v>Barlickiego 18</v>
      </c>
      <c r="F33" s="218">
        <f>_xlfn.XLOOKUP(H33,[4]Sheet1!$I$2:$I$40,[4]Sheet1!$J$2:$J$40,,2,1)</f>
        <v>84121806822</v>
      </c>
      <c r="G33" s="4" t="str">
        <f>[2]Arkusz1!I37</f>
        <v>+48 724 175 940</v>
      </c>
      <c r="H33" s="4" t="str">
        <f>[2]Arkusz1!J37</f>
        <v>milena.gogolew@wp.pl</v>
      </c>
      <c r="I33" s="213" t="str">
        <f>_xlfn.CONCAT([2]Arkusz1!C37," ",[2]Arkusz1!D37)</f>
        <v>Natan Gogolew</v>
      </c>
      <c r="J33" s="216">
        <f ca="1">IF(DATEDIF([2]Arkusz1!S37,TODAY(),"Y")&gt;21,0,DATEDIF([2]Arkusz1!S37,TODAY(),"Y"))</f>
        <v>14</v>
      </c>
      <c r="K33" s="4" t="str">
        <f>[2]Arkusz1!T37</f>
        <v>Podstawowa</v>
      </c>
      <c r="L33" s="216">
        <f>[2]Arkusz1!U37</f>
        <v>8</v>
      </c>
      <c r="M33" s="4" t="str">
        <f>[2]Arkusz1!P37</f>
        <v>Język angielski</v>
      </c>
      <c r="N33" s="4" t="str">
        <f>[2]Arkusz1!Q37</f>
        <v>Ósmoklasisty</v>
      </c>
      <c r="O33" s="4" t="str">
        <f>[2]Arkusz1!V37</f>
        <v>Tak (lub kolejny członek rodziny)</v>
      </c>
      <c r="P33" s="4">
        <f t="shared" si="0"/>
        <v>1</v>
      </c>
      <c r="Q33" s="4" t="str">
        <f>[2]Arkusz1!Y37</f>
        <v>008/2025</v>
      </c>
      <c r="R33" s="4" t="s">
        <v>64</v>
      </c>
      <c r="S33" s="4" t="s">
        <v>65</v>
      </c>
      <c r="T33" s="4">
        <f>[2]Arkusz1!AA37</f>
        <v>15</v>
      </c>
      <c r="U33" s="4" t="str">
        <f>IF([2]Arkusz1!O37=[2]Arkusz1!$O$7,"Z",IF([2]Arkusz1!O37=[2]Arkusz1!$O$15,"Ix3",IF([2]Arkusz1!O37=[2]Arkusz1!$O$20,"Ix1","Ix2")))</f>
        <v>Z</v>
      </c>
      <c r="V33" s="4">
        <f>[2]Arkusz1!AM37</f>
        <v>58</v>
      </c>
      <c r="W33" s="4" t="str">
        <f>[2]Arkusz1!AB37</f>
        <v>wrzesień 2025</v>
      </c>
      <c r="X33" s="4" t="str">
        <f>_xlfn.TEXTBEFORE([2]Arkusz1!AC37," (")</f>
        <v>maj 2026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I33" s="4" t="s">
        <v>359</v>
      </c>
      <c r="AJ33" s="4" t="s">
        <v>360</v>
      </c>
      <c r="AK33" s="4" t="s">
        <v>361</v>
      </c>
      <c r="AL33" s="4">
        <v>84121806822</v>
      </c>
      <c r="AM33" s="4" t="s">
        <v>362</v>
      </c>
      <c r="AN33" s="4" t="s">
        <v>363</v>
      </c>
      <c r="AP33" s="4" t="str">
        <f>[1]Hist!$X43</f>
        <v xml:space="preserve">BEATA MARIA KUHNWALD </v>
      </c>
    </row>
    <row r="34" spans="1:42" x14ac:dyDescent="0.2">
      <c r="A34" s="4">
        <v>32</v>
      </c>
      <c r="B34" s="215">
        <f>[2]Arkusz1!B38</f>
        <v>45852.480717592596</v>
      </c>
      <c r="C34" s="44" t="str">
        <f>_xlfn.CONCAT([2]Arkusz1!G38," ",[2]Arkusz1!H38)</f>
        <v>Anna Gromek</v>
      </c>
      <c r="D34" s="4" t="str">
        <f>_xlfn.XLOOKUP(H34,[4]Sheet1!$I$2:$I$40,[4]Sheet1!$Y$2:$Y$40,,2,1)</f>
        <v xml:space="preserve">14-241  Ząbrowo </v>
      </c>
      <c r="E34" s="4" t="str">
        <f>_xlfn.XLOOKUP(H34,[4]Sheet1!$I$2:$I$40,[4]Sheet1!$K$2:$K$40,,2,1)</f>
        <v>Szkolna 3/2</v>
      </c>
      <c r="F34" s="218">
        <f>_xlfn.XLOOKUP(H34,[4]Sheet1!$I$2:$I$40,[4]Sheet1!$J$2:$J$40,,2,1)</f>
        <v>84010510023</v>
      </c>
      <c r="G34" s="4" t="str">
        <f>[2]Arkusz1!I38</f>
        <v>+48 798 678 131</v>
      </c>
      <c r="H34" s="4" t="str">
        <f>[2]Arkusz1!J38</f>
        <v>annaosowska10@wp.pl</v>
      </c>
      <c r="I34" s="213" t="str">
        <f>_xlfn.CONCAT([2]Arkusz1!C38," ",[2]Arkusz1!D38)</f>
        <v>Nela Gromek</v>
      </c>
      <c r="J34" s="216">
        <f ca="1">IF(DATEDIF([2]Arkusz1!S38,TODAY(),"Y")&gt;21,0,DATEDIF([2]Arkusz1!S38,TODAY(),"Y"))</f>
        <v>16</v>
      </c>
      <c r="K34" s="4" t="str">
        <f>[2]Arkusz1!T38</f>
        <v>Średnia - liceum</v>
      </c>
      <c r="L34" s="216">
        <f>[2]Arkusz1!U38</f>
        <v>1</v>
      </c>
      <c r="M34" s="4" t="str">
        <f>[2]Arkusz1!P38</f>
        <v>Język angielski</v>
      </c>
      <c r="N34" s="4">
        <f>[2]Arkusz1!Q38</f>
        <v>0</v>
      </c>
      <c r="O34" s="4" t="str">
        <f>[2]Arkusz1!V38</f>
        <v>Nie</v>
      </c>
      <c r="P34" s="4">
        <f t="shared" si="0"/>
        <v>1</v>
      </c>
      <c r="Q34" s="4">
        <f>[2]Arkusz1!Y38</f>
        <v>0</v>
      </c>
      <c r="R34" s="4" t="s">
        <v>64</v>
      </c>
      <c r="S34" s="4" t="s">
        <v>65</v>
      </c>
      <c r="T34" s="4">
        <f>[2]Arkusz1!AA38</f>
        <v>15</v>
      </c>
      <c r="U34" s="4" t="str">
        <f>IF([2]Arkusz1!O38=[2]Arkusz1!$O$7,"Z",IF([2]Arkusz1!O38=[2]Arkusz1!$O$15,"Ix3",IF([2]Arkusz1!O38=[2]Arkusz1!$O$20,"Ix1","Ix2")))</f>
        <v>Z</v>
      </c>
      <c r="V34" s="4">
        <f>[2]Arkusz1!AM38</f>
        <v>64</v>
      </c>
      <c r="W34" s="4" t="str">
        <f>[2]Arkusz1!AB38</f>
        <v>wrzesień 2025</v>
      </c>
      <c r="X34" s="4" t="str">
        <f>_xlfn.TEXTBEFORE([2]Arkusz1!AC38," (")</f>
        <v>maj 2026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I34" s="4" t="s">
        <v>364</v>
      </c>
      <c r="AJ34" s="4" t="s">
        <v>365</v>
      </c>
      <c r="AK34" s="4" t="s">
        <v>366</v>
      </c>
      <c r="AL34" s="4">
        <v>84010510023</v>
      </c>
      <c r="AM34" s="4" t="s">
        <v>367</v>
      </c>
      <c r="AN34" s="4" t="s">
        <v>368</v>
      </c>
      <c r="AP34" s="4" t="str">
        <f>[1]Hist!$X44</f>
        <v>ŁUKASZEWSKA SYLWIA</v>
      </c>
    </row>
    <row r="35" spans="1:42" x14ac:dyDescent="0.2">
      <c r="A35" s="4">
        <v>33</v>
      </c>
      <c r="B35" s="215">
        <f>[2]Arkusz1!B39</f>
        <v>45853.851388888892</v>
      </c>
      <c r="C35" s="44" t="str">
        <f>_xlfn.CONCAT([2]Arkusz1!G39," ",[2]Arkusz1!H39)</f>
        <v>Ewa Owierkowicz</v>
      </c>
      <c r="D35" s="4" t="str">
        <f>_xlfn.XLOOKUP(H35,[4]Sheet1!$I$2:$I$40,[4]Sheet1!$Y$2:$Y$40,,2,1)</f>
        <v xml:space="preserve">14-200  Iława </v>
      </c>
      <c r="E35" s="4" t="s">
        <v>369</v>
      </c>
      <c r="F35" s="218">
        <f>_xlfn.XLOOKUP(H35,[4]Sheet1!$I$2:$I$40,[4]Sheet1!$J$2:$J$40,,2,1)</f>
        <v>74082807383</v>
      </c>
      <c r="G35" s="4" t="str">
        <f>[2]Arkusz1!I39</f>
        <v>+48 507 104 808</v>
      </c>
      <c r="H35" s="4" t="str">
        <f>[2]Arkusz1!J39</f>
        <v>ewaowier@o2.pl</v>
      </c>
      <c r="I35" s="213" t="str">
        <f>_xlfn.CONCAT([2]Arkusz1!C39," ",[2]Arkusz1!D39)</f>
        <v>PIOTR KŁOSOWSKI</v>
      </c>
      <c r="J35" s="216">
        <f ca="1">IF(DATEDIF([2]Arkusz1!S39,TODAY(),"Y")&gt;21,0,DATEDIF([2]Arkusz1!S39,TODAY(),"Y"))</f>
        <v>13</v>
      </c>
      <c r="K35" s="4" t="str">
        <f>[2]Arkusz1!T39</f>
        <v>Podstawowa</v>
      </c>
      <c r="L35" s="216">
        <f>[2]Arkusz1!U39</f>
        <v>6</v>
      </c>
      <c r="M35" s="4" t="str">
        <f>[2]Arkusz1!P39</f>
        <v>Język angielski</v>
      </c>
      <c r="N35" s="4" t="str">
        <f>[2]Arkusz1!Q39</f>
        <v>Ósmoklasisty</v>
      </c>
      <c r="O35" s="4" t="str">
        <f>[2]Arkusz1!V39</f>
        <v>Tak (lub kolejny członek rodziny)</v>
      </c>
      <c r="P35" s="4">
        <f t="shared" si="0"/>
        <v>2</v>
      </c>
      <c r="Q35" s="4" t="str">
        <f>[2]Arkusz1!Y39</f>
        <v>032/2025</v>
      </c>
      <c r="R35" s="4" t="s">
        <v>64</v>
      </c>
      <c r="S35" s="4" t="s">
        <v>65</v>
      </c>
      <c r="T35" s="4">
        <f>[2]Arkusz1!AA39</f>
        <v>5</v>
      </c>
      <c r="U35" s="4" t="str">
        <f>IF([2]Arkusz1!O39=[2]Arkusz1!$O$7,"Z",IF([2]Arkusz1!O39=[2]Arkusz1!$O$15,"Ix3",IF([2]Arkusz1!O39=[2]Arkusz1!$O$20,"Ix1","Ix2")))</f>
        <v>Z</v>
      </c>
      <c r="V35" s="4">
        <f>[2]Arkusz1!AM39</f>
        <v>58</v>
      </c>
      <c r="W35" s="4" t="str">
        <f>[2]Arkusz1!AB39</f>
        <v>wrzesień 2025</v>
      </c>
      <c r="X35" s="4" t="str">
        <f>_xlfn.TEXTBEFORE([2]Arkusz1!AC39," (")</f>
        <v>maj 2026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I35" s="4" t="s">
        <v>370</v>
      </c>
      <c r="AJ35" s="4" t="s">
        <v>360</v>
      </c>
      <c r="AK35" s="4" t="s">
        <v>369</v>
      </c>
      <c r="AL35" s="4">
        <v>74082807383</v>
      </c>
      <c r="AM35" s="4" t="s">
        <v>371</v>
      </c>
      <c r="AN35" s="4" t="s">
        <v>372</v>
      </c>
      <c r="AP35" s="4" t="str">
        <f>[1]Hist!$X45</f>
        <v>MONIKA A MARASZEK UL. NIEPODLEGŁOŚC I 4 82-550 PRABUTY MONIKA A MARASZE</v>
      </c>
    </row>
    <row r="36" spans="1:42" x14ac:dyDescent="0.2">
      <c r="A36" s="4">
        <v>34</v>
      </c>
      <c r="B36" s="215">
        <f>[2]Arkusz1!B40</f>
        <v>45853.855023148149</v>
      </c>
      <c r="C36" s="44" t="str">
        <f>_xlfn.CONCAT([2]Arkusz1!G40," ",[2]Arkusz1!H40)</f>
        <v>Ewa Owierkowicz</v>
      </c>
      <c r="D36" s="4" t="str">
        <f>_xlfn.XLOOKUP(H36,[4]Sheet1!$I$2:$I$40,[4]Sheet1!$Y$2:$Y$40,,2,1)</f>
        <v xml:space="preserve">14-200  Iława </v>
      </c>
      <c r="E36" s="4" t="str">
        <f>_xlfn.XLOOKUP(H36,[4]Sheet1!$I$2:$I$40,[4]Sheet1!$K$2:$K$40,,2,1)</f>
        <v xml:space="preserve">Kościuszki </v>
      </c>
      <c r="F36" s="218">
        <f>_xlfn.XLOOKUP(H36,[4]Sheet1!$I$2:$I$40,[4]Sheet1!$J$2:$J$40,,2,1)</f>
        <v>74082807383</v>
      </c>
      <c r="G36" s="4" t="str">
        <f>[2]Arkusz1!I40</f>
        <v>+48 507 104 808</v>
      </c>
      <c r="H36" s="4" t="str">
        <f>[2]Arkusz1!J40</f>
        <v>ewaowier@o2.pl</v>
      </c>
      <c r="I36" s="213" t="str">
        <f>_xlfn.CONCAT([2]Arkusz1!C40," ",[2]Arkusz1!D40)</f>
        <v>MARIUSZ KŁOSOWSKI</v>
      </c>
      <c r="J36" s="216">
        <f ca="1">IF(DATEDIF([2]Arkusz1!S40,TODAY(),"Y")&gt;21,0,DATEDIF([2]Arkusz1!S40,TODAY(),"Y"))</f>
        <v>15</v>
      </c>
      <c r="K36" s="4" t="str">
        <f>[2]Arkusz1!T40</f>
        <v>Średnia - technikum</v>
      </c>
      <c r="L36" s="216">
        <f>[2]Arkusz1!U40</f>
        <v>1</v>
      </c>
      <c r="M36" s="4" t="str">
        <f>[2]Arkusz1!P40</f>
        <v>Język angielski</v>
      </c>
      <c r="N36" s="4" t="str">
        <f>[2]Arkusz1!Q40</f>
        <v>Maturalny</v>
      </c>
      <c r="O36" s="4" t="str">
        <f>[2]Arkusz1!V40</f>
        <v>Tak (lub kolejny członek rodziny)</v>
      </c>
      <c r="P36" s="4">
        <f t="shared" si="0"/>
        <v>2</v>
      </c>
      <c r="Q36" s="4" t="str">
        <f>[2]Arkusz1!Y40</f>
        <v>013/2025</v>
      </c>
      <c r="R36" s="4" t="s">
        <v>64</v>
      </c>
      <c r="S36" s="4" t="s">
        <v>65</v>
      </c>
      <c r="T36" s="4">
        <f>[2]Arkusz1!AA40</f>
        <v>5</v>
      </c>
      <c r="U36" s="4" t="str">
        <f>IF([2]Arkusz1!O40=[2]Arkusz1!$O$7,"Z",IF([2]Arkusz1!O40=[2]Arkusz1!$O$15,"Ix3",IF([2]Arkusz1!O40=[2]Arkusz1!$O$20,"Ix1","Ix2")))</f>
        <v>Z</v>
      </c>
      <c r="V36" s="4">
        <f>[2]Arkusz1!AM40</f>
        <v>58</v>
      </c>
      <c r="W36" s="4" t="str">
        <f>[2]Arkusz1!AB40</f>
        <v>wrzesień 2025</v>
      </c>
      <c r="X36" s="4" t="str">
        <f>_xlfn.TEXTBEFORE([2]Arkusz1!AC40," (")</f>
        <v>maj 2026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I36" s="4" t="s">
        <v>370</v>
      </c>
      <c r="AJ36" s="4" t="s">
        <v>360</v>
      </c>
      <c r="AK36" s="4" t="s">
        <v>369</v>
      </c>
      <c r="AL36" s="4">
        <v>74082807383</v>
      </c>
      <c r="AM36" s="4" t="s">
        <v>371</v>
      </c>
      <c r="AN36" s="4" t="s">
        <v>372</v>
      </c>
      <c r="AP36" s="4" t="str">
        <f>[1]Hist!$X46</f>
        <v>MAGDALENA BŁASZKOWSKA</v>
      </c>
    </row>
    <row r="37" spans="1:42" x14ac:dyDescent="0.2">
      <c r="A37" s="4">
        <v>35</v>
      </c>
      <c r="B37" s="215">
        <f>[2]Arkusz1!B41</f>
        <v>45854.30296296296</v>
      </c>
      <c r="C37" s="44" t="str">
        <f>_xlfn.CONCAT([2]Arkusz1!G41," ",[2]Arkusz1!H41)</f>
        <v>Joanna Kanicz</v>
      </c>
      <c r="D37" s="4" t="str">
        <f>_xlfn.XLOOKUP(H37,[4]Sheet1!$I$2:$I$40,[4]Sheet1!$Y$2:$Y$40,,2,1)</f>
        <v>14-200 Iława</v>
      </c>
      <c r="E37" s="4" t="str">
        <f>_xlfn.XLOOKUP(H37,[4]Sheet1!$I$2:$I$40,[4]Sheet1!$K$2:$K$40,,2,1)</f>
        <v>Górna 1</v>
      </c>
      <c r="F37" s="218">
        <f>_xlfn.XLOOKUP(H37,[4]Sheet1!$I$2:$I$40,[4]Sheet1!$J$2:$J$40,,2,1)</f>
        <v>76031807826</v>
      </c>
      <c r="G37" s="4" t="str">
        <f>[2]Arkusz1!I41</f>
        <v>+48 509 188 615</v>
      </c>
      <c r="H37" s="4" t="str">
        <f>[2]Arkusz1!J41</f>
        <v>jkanicz@wp.pl</v>
      </c>
      <c r="I37" s="213" t="str">
        <f>_xlfn.CONCAT([2]Arkusz1!C41," ",[2]Arkusz1!D41)</f>
        <v>Julia Kanicz</v>
      </c>
      <c r="J37" s="216">
        <f ca="1">IF(DATEDIF([2]Arkusz1!S41,TODAY(),"Y")&gt;21,0,DATEDIF([2]Arkusz1!S41,TODAY(),"Y"))</f>
        <v>18</v>
      </c>
      <c r="K37" s="4" t="str">
        <f>[2]Arkusz1!T41</f>
        <v>Średnia - liceum</v>
      </c>
      <c r="L37" s="216">
        <f>[2]Arkusz1!U41</f>
        <v>4</v>
      </c>
      <c r="M37" s="4" t="str">
        <f>[2]Arkusz1!P41</f>
        <v>Język angielski</v>
      </c>
      <c r="N37" s="4" t="str">
        <f>[2]Arkusz1!Q41</f>
        <v>Maturalny</v>
      </c>
      <c r="O37" s="4" t="str">
        <f>[2]Arkusz1!V41</f>
        <v>Tak (lub kolejny członek rodziny)</v>
      </c>
      <c r="P37" s="4">
        <f t="shared" si="0"/>
        <v>1</v>
      </c>
      <c r="Q37" s="4" t="str">
        <f>[2]Arkusz1!Y41</f>
        <v>062/2025</v>
      </c>
      <c r="R37" s="4" t="s">
        <v>64</v>
      </c>
      <c r="S37" s="4" t="s">
        <v>65</v>
      </c>
      <c r="T37" s="4">
        <f>[2]Arkusz1!AA41</f>
        <v>25</v>
      </c>
      <c r="U37" s="4" t="str">
        <f>IF([2]Arkusz1!O41=[2]Arkusz1!$O$7,"Z",IF([2]Arkusz1!O41=[2]Arkusz1!$O$15,"Ix3",IF([2]Arkusz1!O41=[2]Arkusz1!$O$20,"Ix1","Ix2")))</f>
        <v>Z</v>
      </c>
      <c r="V37" s="4">
        <f>[2]Arkusz1!AM41</f>
        <v>58</v>
      </c>
      <c r="W37" s="4" t="str">
        <f>[2]Arkusz1!AB41</f>
        <v>wrzesień 2025</v>
      </c>
      <c r="X37" s="4" t="str">
        <f>[2]Arkusz1!AC41</f>
        <v>czerwiec 2026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I37" s="4" t="s">
        <v>373</v>
      </c>
      <c r="AJ37" s="4" t="s">
        <v>248</v>
      </c>
      <c r="AK37" s="4" t="s">
        <v>374</v>
      </c>
      <c r="AL37" s="4">
        <v>76031807826</v>
      </c>
      <c r="AM37" s="4" t="s">
        <v>375</v>
      </c>
      <c r="AN37" s="4" t="s">
        <v>376</v>
      </c>
      <c r="AP37" s="4" t="str">
        <f>[1]Hist!$X47</f>
        <v>BARTON POLSKA SPÓŁKA Z OGRANICZONĄ ODPOWIEDZIALNOŚCIĄ</v>
      </c>
    </row>
    <row r="38" spans="1:42" x14ac:dyDescent="0.2">
      <c r="A38" s="4">
        <v>36</v>
      </c>
      <c r="B38" s="215">
        <f>[2]Arkusz1!B42</f>
        <v>45854.778831018521</v>
      </c>
      <c r="C38" s="44" t="str">
        <f>_xlfn.CONCAT([2]Arkusz1!G42," ",[2]Arkusz1!H42)</f>
        <v>Monika Czapska</v>
      </c>
      <c r="D38" s="4" t="str">
        <f>_xlfn.XLOOKUP(H38,[4]Sheet1!$I$2:$I$40,[4]Sheet1!$Y$2:$Y$40,,2,1)</f>
        <v>13-300 Mszanowo</v>
      </c>
      <c r="E38" s="4" t="str">
        <f>_xlfn.XLOOKUP(H38,[4]Sheet1!$I$2:$I$40,[4]Sheet1!$K$2:$K$40,,2,1)</f>
        <v>Piaskowa 10</v>
      </c>
      <c r="F38" s="218">
        <f>_xlfn.XLOOKUP(H38,[4]Sheet1!$I$2:$I$40,[4]Sheet1!$J$2:$J$40,,2,1)</f>
        <v>82042009007</v>
      </c>
      <c r="G38" s="4" t="str">
        <f>[2]Arkusz1!I42</f>
        <v>+48 668 502 724</v>
      </c>
      <c r="H38" s="4" t="str">
        <f>[2]Arkusz1!J42</f>
        <v>monzak15@wp.pl</v>
      </c>
      <c r="I38" s="213" t="str">
        <f>_xlfn.CONCAT([2]Arkusz1!C42," ",[2]Arkusz1!D42)</f>
        <v>Filip Czapski</v>
      </c>
      <c r="J38" s="216">
        <f ca="1">IF(DATEDIF([2]Arkusz1!S42,TODAY(),"Y")&gt;21,0,DATEDIF([2]Arkusz1!S42,TODAY(),"Y"))</f>
        <v>14</v>
      </c>
      <c r="K38" s="4" t="str">
        <f>[2]Arkusz1!T42</f>
        <v>Podstawowa</v>
      </c>
      <c r="L38" s="216">
        <f>[2]Arkusz1!U42</f>
        <v>8</v>
      </c>
      <c r="M38" s="4" t="str">
        <f>[2]Arkusz1!P42</f>
        <v>Język angielski</v>
      </c>
      <c r="N38" s="4" t="str">
        <f>[2]Arkusz1!Q42</f>
        <v>Ósmoklasisty</v>
      </c>
      <c r="O38" s="4" t="str">
        <f>[2]Arkusz1!V42</f>
        <v>Tak (lub kolejny członek rodziny)</v>
      </c>
      <c r="P38" s="4">
        <f t="shared" si="0"/>
        <v>3</v>
      </c>
      <c r="Q38" s="4">
        <f>[2]Arkusz1!Y42</f>
        <v>0</v>
      </c>
      <c r="R38" s="4" t="s">
        <v>64</v>
      </c>
      <c r="S38" s="4" t="s">
        <v>65</v>
      </c>
      <c r="T38" s="4">
        <f>[2]Arkusz1!AA42</f>
        <v>15</v>
      </c>
      <c r="U38" s="4" t="str">
        <f>IF([2]Arkusz1!O42=[2]Arkusz1!$O$7,"Z",IF([2]Arkusz1!O42=[2]Arkusz1!$O$15,"Ix3",IF([2]Arkusz1!O42=[2]Arkusz1!$O$20,"Ix1","Ix2")))</f>
        <v>Ix1</v>
      </c>
      <c r="V38" s="4">
        <f>[2]Arkusz1!AM42</f>
        <v>33</v>
      </c>
      <c r="W38" s="4" t="str">
        <f>[2]Arkusz1!AB42</f>
        <v>wrzesień 2025</v>
      </c>
      <c r="X38" s="4" t="str">
        <f>_xlfn.TEXTBEFORE([2]Arkusz1!AC42," (")</f>
        <v>maj 2026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I38" s="4" t="s">
        <v>377</v>
      </c>
      <c r="AJ38" s="4" t="s">
        <v>378</v>
      </c>
      <c r="AK38" s="4" t="s">
        <v>379</v>
      </c>
      <c r="AL38" s="4">
        <v>82042009007</v>
      </c>
      <c r="AM38" s="4" t="s">
        <v>380</v>
      </c>
      <c r="AN38" s="4" t="s">
        <v>381</v>
      </c>
      <c r="AP38" s="4" t="str">
        <f>[1]Hist!$X48</f>
        <v>ŁUKASZ MARCIN TARCHANOW</v>
      </c>
    </row>
    <row r="39" spans="1:42" x14ac:dyDescent="0.2">
      <c r="A39" s="4">
        <v>37</v>
      </c>
      <c r="B39" s="215">
        <f>[2]Arkusz1!B43</f>
        <v>45854.780497685184</v>
      </c>
      <c r="C39" s="44" t="str">
        <f>_xlfn.CONCAT([2]Arkusz1!G43," ",[2]Arkusz1!H43)</f>
        <v>Monika Czapska</v>
      </c>
      <c r="D39" s="4" t="str">
        <f>_xlfn.XLOOKUP(H39,[4]Sheet1!$I$2:$I$40,[4]Sheet1!$Y$2:$Y$40,,2,1)</f>
        <v>13-300 Mszanowo</v>
      </c>
      <c r="E39" s="4" t="str">
        <f>_xlfn.XLOOKUP(H39,[4]Sheet1!$I$2:$I$40,[4]Sheet1!$K$2:$K$40,,2,1)</f>
        <v>Piaskowa 10</v>
      </c>
      <c r="F39" s="218">
        <f>_xlfn.XLOOKUP(H39,[4]Sheet1!$I$2:$I$40,[4]Sheet1!$J$2:$J$40,,2,1)</f>
        <v>82042009007</v>
      </c>
      <c r="G39" s="4" t="str">
        <f>[2]Arkusz1!I43</f>
        <v>+48 668 502 724</v>
      </c>
      <c r="H39" s="4" t="str">
        <f>[2]Arkusz1!J43</f>
        <v>monzak15@wp.pl</v>
      </c>
      <c r="I39" s="213" t="str">
        <f>_xlfn.CONCAT([2]Arkusz1!C43," ",[2]Arkusz1!D43)</f>
        <v>Filip Czapski</v>
      </c>
      <c r="J39" s="216">
        <f ca="1">IF(DATEDIF([2]Arkusz1!S43,TODAY(),"Y")&gt;21,0,DATEDIF([2]Arkusz1!S43,TODAY(),"Y"))</f>
        <v>14</v>
      </c>
      <c r="K39" s="4" t="str">
        <f>[2]Arkusz1!T43</f>
        <v>Podstawowa</v>
      </c>
      <c r="L39" s="216">
        <f>[2]Arkusz1!U43</f>
        <v>8</v>
      </c>
      <c r="M39" s="4" t="str">
        <f>[2]Arkusz1!P43</f>
        <v>Język polski</v>
      </c>
      <c r="N39" s="4" t="str">
        <f>[2]Arkusz1!Q43</f>
        <v>Ósmoklasisty</v>
      </c>
      <c r="O39" s="4" t="str">
        <f>[2]Arkusz1!V43</f>
        <v>Tak (lub kolejny członek rodziny)</v>
      </c>
      <c r="P39" s="4">
        <f t="shared" si="0"/>
        <v>3</v>
      </c>
      <c r="Q39" s="4">
        <f>[2]Arkusz1!Y43</f>
        <v>0</v>
      </c>
      <c r="R39" s="4" t="s">
        <v>64</v>
      </c>
      <c r="S39" s="4" t="s">
        <v>65</v>
      </c>
      <c r="T39" s="4">
        <f>[2]Arkusz1!AA43</f>
        <v>15</v>
      </c>
      <c r="U39" s="4" t="str">
        <f>IF([2]Arkusz1!O43=[2]Arkusz1!$O$7,"Z",IF([2]Arkusz1!O43=[2]Arkusz1!$O$15,"Ix3",IF([2]Arkusz1!O43=[2]Arkusz1!$O$20,"Ix1","Ix2")))</f>
        <v>Ix1</v>
      </c>
      <c r="V39" s="4">
        <f>[2]Arkusz1!AM43</f>
        <v>33</v>
      </c>
      <c r="W39" s="4" t="str">
        <f>[2]Arkusz1!AB43</f>
        <v>wrzesień 2025</v>
      </c>
      <c r="X39" s="4" t="str">
        <f>_xlfn.TEXTBEFORE([2]Arkusz1!AC43," (")</f>
        <v>maj 2026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I39" s="4" t="s">
        <v>377</v>
      </c>
      <c r="AJ39" s="4" t="s">
        <v>378</v>
      </c>
      <c r="AK39" s="4" t="s">
        <v>379</v>
      </c>
      <c r="AL39" s="4">
        <v>82042009007</v>
      </c>
      <c r="AM39" s="4" t="s">
        <v>380</v>
      </c>
      <c r="AN39" s="4" t="s">
        <v>381</v>
      </c>
      <c r="AP39" s="4" t="str">
        <f>[1]Hist!$X49</f>
        <v>PATRYCJA KAMILA MACIEJEWSKA</v>
      </c>
    </row>
    <row r="40" spans="1:42" x14ac:dyDescent="0.2">
      <c r="A40" s="4">
        <v>38</v>
      </c>
      <c r="B40" s="215">
        <f>[2]Arkusz1!B44</f>
        <v>45854.781701388885</v>
      </c>
      <c r="C40" s="44" t="str">
        <f>_xlfn.CONCAT([2]Arkusz1!G44," ",[2]Arkusz1!H44)</f>
        <v>Monika Czapska</v>
      </c>
      <c r="D40" s="4" t="str">
        <f>_xlfn.XLOOKUP(H40,[4]Sheet1!$I$2:$I$40,[4]Sheet1!$Y$2:$Y$40,,2,1)</f>
        <v>13-300 Mszanowo</v>
      </c>
      <c r="E40" s="4" t="str">
        <f>_xlfn.XLOOKUP(H40,[4]Sheet1!$I$2:$I$40,[4]Sheet1!$K$2:$K$40,,2,1)</f>
        <v>Piaskowa 10</v>
      </c>
      <c r="F40" s="218">
        <f>_xlfn.XLOOKUP(H40,[4]Sheet1!$I$2:$I$40,[4]Sheet1!$J$2:$J$40,,2,1)</f>
        <v>82042009007</v>
      </c>
      <c r="G40" s="4" t="str">
        <f>[2]Arkusz1!I44</f>
        <v>+48 668 502 724</v>
      </c>
      <c r="H40" s="4" t="str">
        <f>[2]Arkusz1!J44</f>
        <v>monzak15@wp.pl</v>
      </c>
      <c r="I40" s="213" t="str">
        <f>_xlfn.CONCAT([2]Arkusz1!C44," ",[2]Arkusz1!D44)</f>
        <v>Filip Czapski</v>
      </c>
      <c r="J40" s="216">
        <f ca="1">IF(DATEDIF([2]Arkusz1!S44,TODAY(),"Y")&gt;21,0,DATEDIF([2]Arkusz1!S44,TODAY(),"Y"))</f>
        <v>14</v>
      </c>
      <c r="K40" s="4" t="str">
        <f>[2]Arkusz1!T44</f>
        <v>Podstawowa</v>
      </c>
      <c r="L40" s="216">
        <f>[2]Arkusz1!U44</f>
        <v>8</v>
      </c>
      <c r="M40" s="4" t="str">
        <f>[2]Arkusz1!P44</f>
        <v>Matematyka</v>
      </c>
      <c r="N40" s="4" t="str">
        <f>[2]Arkusz1!Q44</f>
        <v>Ósmoklasisty</v>
      </c>
      <c r="O40" s="4" t="str">
        <f>[2]Arkusz1!V44</f>
        <v>Tak (lub kolejny członek rodziny)</v>
      </c>
      <c r="P40" s="4">
        <f t="shared" si="0"/>
        <v>3</v>
      </c>
      <c r="Q40" s="4">
        <f>[2]Arkusz1!Y44</f>
        <v>0</v>
      </c>
      <c r="R40" s="4" t="s">
        <v>64</v>
      </c>
      <c r="S40" s="4" t="s">
        <v>65</v>
      </c>
      <c r="T40" s="4">
        <f>[2]Arkusz1!AA44</f>
        <v>15</v>
      </c>
      <c r="U40" s="4" t="str">
        <f>IF([2]Arkusz1!O44=[2]Arkusz1!$O$7,"Z",IF([2]Arkusz1!O44=[2]Arkusz1!$O$15,"Ix3",IF([2]Arkusz1!O44=[2]Arkusz1!$O$20,"Ix1","Ix2")))</f>
        <v>Ix1</v>
      </c>
      <c r="V40" s="4">
        <f>[2]Arkusz1!AM44</f>
        <v>33</v>
      </c>
      <c r="W40" s="4" t="str">
        <f>[2]Arkusz1!AB44</f>
        <v>wrzesień 2025</v>
      </c>
      <c r="X40" s="4" t="str">
        <f>_xlfn.TEXTBEFORE([2]Arkusz1!AC44," (")</f>
        <v>maj 2026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I40" s="4" t="s">
        <v>377</v>
      </c>
      <c r="AJ40" s="4" t="s">
        <v>378</v>
      </c>
      <c r="AK40" s="4" t="s">
        <v>379</v>
      </c>
      <c r="AL40" s="4">
        <v>82042009007</v>
      </c>
      <c r="AM40" s="4" t="s">
        <v>380</v>
      </c>
      <c r="AN40" s="4" t="s">
        <v>381</v>
      </c>
      <c r="AP40" s="4" t="str">
        <f>[1]Hist!$X50</f>
        <v>AGNIESZKA ANNA MAŁKIEWICZ  WIELKI G ŁĘBOCZEK 4 87-313 WIELKI GŁĘBOCZEK</v>
      </c>
    </row>
    <row r="41" spans="1:42" x14ac:dyDescent="0.2">
      <c r="A41" s="4">
        <v>39</v>
      </c>
      <c r="B41" s="215">
        <f>[2]Arkusz1!B45</f>
        <v>45856.765625</v>
      </c>
      <c r="C41" s="44" t="str">
        <f>_xlfn.CONCAT([2]Arkusz1!G45," ",[2]Arkusz1!H45)</f>
        <v>Hanna Gamalska</v>
      </c>
      <c r="D41" s="4" t="str">
        <f>AJ41</f>
        <v>14-200 Iława</v>
      </c>
      <c r="E41" s="4" t="s">
        <v>382</v>
      </c>
      <c r="F41" s="218">
        <v>79070108800</v>
      </c>
      <c r="G41" s="4" t="str">
        <f>[2]Arkusz1!I45</f>
        <v>+48 791 521 882</v>
      </c>
      <c r="H41" s="4" t="str">
        <f>[2]Arkusz1!J45</f>
        <v>t.gamalski@gmail.com</v>
      </c>
      <c r="I41" s="213" t="str">
        <f>_xlfn.CONCAT([2]Arkusz1!C45," ",[2]Arkusz1!D45)</f>
        <v>Mateusz Gamalski</v>
      </c>
      <c r="J41" s="216">
        <f ca="1">IF(DATEDIF([2]Arkusz1!S45,TODAY(),"Y")&gt;21,0,DATEDIF([2]Arkusz1!S45,TODAY(),"Y"))</f>
        <v>0</v>
      </c>
      <c r="K41" s="4">
        <f>[2]Arkusz1!T45</f>
        <v>0</v>
      </c>
      <c r="L41" s="216">
        <f>[2]Arkusz1!U45</f>
        <v>0</v>
      </c>
      <c r="M41" s="4" t="str">
        <f>[2]Arkusz1!P45</f>
        <v>Język angielski</v>
      </c>
      <c r="N41" s="4" t="str">
        <f>[2]Arkusz1!Q45</f>
        <v>Maturalny</v>
      </c>
      <c r="O41" s="4" t="str">
        <f>[2]Arkusz1!V45</f>
        <v>Tak (lub kolejny członek rodziny)</v>
      </c>
      <c r="P41" s="4">
        <f t="shared" si="0"/>
        <v>2</v>
      </c>
      <c r="Q41" s="4" t="str">
        <f>[2]Arkusz1!Y45</f>
        <v>060/2025</v>
      </c>
      <c r="R41" s="4" t="s">
        <v>64</v>
      </c>
      <c r="S41" s="4" t="s">
        <v>65</v>
      </c>
      <c r="T41" s="4">
        <f>[2]Arkusz1!AA45</f>
        <v>15</v>
      </c>
      <c r="U41" s="4" t="str">
        <f>IF([2]Arkusz1!O45=[2]Arkusz1!$O$7,"Z",IF([2]Arkusz1!O45=[2]Arkusz1!$O$15,"Ix3",IF([2]Arkusz1!O45=[2]Arkusz1!$O$20,"Ix1","Ix2")))</f>
        <v>Z</v>
      </c>
      <c r="V41" s="4">
        <f>[2]Arkusz1!AM45</f>
        <v>64</v>
      </c>
      <c r="W41" s="4" t="str">
        <f>[2]Arkusz1!AB45</f>
        <v>wrzesień 2025</v>
      </c>
      <c r="X41" s="4" t="str">
        <f>_xlfn.TEXTBEFORE([2]Arkusz1!AC45," (")</f>
        <v>maj 2026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I41" s="4" t="s">
        <v>383</v>
      </c>
      <c r="AJ41" s="4" t="s">
        <v>248</v>
      </c>
      <c r="AK41" s="4" t="s">
        <v>382</v>
      </c>
      <c r="AL41" s="4">
        <v>83122015196</v>
      </c>
      <c r="AM41" s="4" t="s">
        <v>384</v>
      </c>
      <c r="AN41" s="4" t="s">
        <v>385</v>
      </c>
      <c r="AP41" s="4" t="str">
        <f>[1]Hist!$X51</f>
        <v>TRZEBIATOWSKA-MACIEJKO EWA</v>
      </c>
    </row>
    <row r="42" spans="1:42" x14ac:dyDescent="0.2">
      <c r="A42" s="4">
        <v>40</v>
      </c>
      <c r="B42" s="215">
        <f>[2]Arkusz1!B46</f>
        <v>45859.678506944445</v>
      </c>
      <c r="C42" s="44" t="str">
        <f>_xlfn.CONCAT([2]Arkusz1!G46," ",[2]Arkusz1!H46)</f>
        <v>Julia Wasiak</v>
      </c>
      <c r="D42" s="4" t="str">
        <f>_xlfn.XLOOKUP(H42,[4]Sheet1!$I$2:$I$40,[4]Sheet1!$Y$2:$Y$40,,2,1)</f>
        <v>14-200 Stradomno</v>
      </c>
      <c r="E42" s="4" t="str">
        <f>_xlfn.XLOOKUP(H42,[4]Sheet1!$I$2:$I$40,[4]Sheet1!$K$2:$K$40,,2,1)</f>
        <v>Stradomno 20A</v>
      </c>
      <c r="F42" s="218">
        <f>_xlfn.XLOOKUP(H42,[4]Sheet1!$I$2:$I$40,[4]Sheet1!$J$2:$J$40,,2,1)</f>
        <v>7261102207</v>
      </c>
      <c r="G42" s="4" t="str">
        <f>[2]Arkusz1!I46</f>
        <v>+48 536 816 018</v>
      </c>
      <c r="H42" s="4" t="str">
        <f>[2]Arkusz1!J46</f>
        <v>julksonwasiak@gmail.com</v>
      </c>
      <c r="I42" s="213" t="str">
        <f>_xlfn.CONCAT([2]Arkusz1!C46," ",[2]Arkusz1!D46)</f>
        <v>Julia Wasiak</v>
      </c>
      <c r="J42" s="216">
        <f ca="1">IF(DATEDIF([2]Arkusz1!S46,TODAY(),"Y")&gt;21,0,DATEDIF([2]Arkusz1!S46,TODAY(),"Y"))</f>
        <v>0</v>
      </c>
      <c r="K42" s="4">
        <f>[2]Arkusz1!T46</f>
        <v>0</v>
      </c>
      <c r="L42" s="216">
        <f>[2]Arkusz1!U46</f>
        <v>0</v>
      </c>
      <c r="M42" s="4" t="str">
        <f>[2]Arkusz1!P46</f>
        <v>Język angielski</v>
      </c>
      <c r="N42" s="4">
        <f>[2]Arkusz1!Q46</f>
        <v>0</v>
      </c>
      <c r="O42" s="4" t="str">
        <f>[2]Arkusz1!V46</f>
        <v>Tak (lub kolejny członek rodziny)</v>
      </c>
      <c r="P42" s="4">
        <f t="shared" si="0"/>
        <v>1</v>
      </c>
      <c r="Q42" s="4">
        <f>[2]Arkusz1!Y46</f>
        <v>0</v>
      </c>
      <c r="R42" s="4" t="s">
        <v>64</v>
      </c>
      <c r="S42" s="4" t="s">
        <v>65</v>
      </c>
      <c r="T42" s="4">
        <f>[2]Arkusz1!AA46</f>
        <v>15</v>
      </c>
      <c r="U42" s="4" t="str">
        <f>IF([2]Arkusz1!O46=[2]Arkusz1!$O$7,"Z",IF([2]Arkusz1!O46=[2]Arkusz1!$O$15,"Ix3",IF([2]Arkusz1!O46=[2]Arkusz1!$O$20,"Ix1","Ix2")))</f>
        <v>Ix1</v>
      </c>
      <c r="V42" s="4">
        <f>[2]Arkusz1!AM46</f>
        <v>33</v>
      </c>
      <c r="W42" s="4" t="str">
        <f>[2]Arkusz1!AB46</f>
        <v>wrzesień 2025</v>
      </c>
      <c r="X42" s="4" t="str">
        <f>[2]Arkusz1!AC46</f>
        <v>czerwiec 2026</v>
      </c>
      <c r="Y42" s="4" t="s">
        <v>386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I42" s="4" t="s">
        <v>387</v>
      </c>
      <c r="AJ42" s="4" t="s">
        <v>388</v>
      </c>
      <c r="AK42" s="4" t="s">
        <v>389</v>
      </c>
      <c r="AL42" s="4">
        <v>7261102207</v>
      </c>
      <c r="AM42" s="4" t="s">
        <v>390</v>
      </c>
      <c r="AN42" s="4" t="s">
        <v>391</v>
      </c>
      <c r="AP42" s="4" t="str">
        <f>[1]Hist!$X52</f>
        <v>EMILY SZKOŁA JĘZYKÓW OBCYCH EMILIA KŁOSOWSKA</v>
      </c>
    </row>
    <row r="43" spans="1:42" x14ac:dyDescent="0.2">
      <c r="A43" s="4">
        <v>41</v>
      </c>
      <c r="B43" s="215">
        <f>[2]Arkusz1!B47</f>
        <v>45861.343356481484</v>
      </c>
      <c r="C43" s="44" t="str">
        <f>_xlfn.CONCAT([2]Arkusz1!G47," ",[2]Arkusz1!H47)</f>
        <v>Agnieszka Małkiewicz</v>
      </c>
      <c r="D43" s="4" t="s">
        <v>392</v>
      </c>
      <c r="E43" s="4" t="s">
        <v>393</v>
      </c>
      <c r="F43" s="218">
        <v>86092111644</v>
      </c>
      <c r="G43" s="4" t="str">
        <f>[2]Arkusz1!I47</f>
        <v>+48 505 313 331</v>
      </c>
      <c r="H43" s="4" t="str">
        <f>[2]Arkusz1!J47</f>
        <v>agnieszka-pokojska@wp.pl</v>
      </c>
      <c r="I43" s="213" t="str">
        <f>_xlfn.CONCAT([2]Arkusz1!C47," ",[2]Arkusz1!D47)</f>
        <v>Anna Małkiewicz</v>
      </c>
      <c r="J43" s="216">
        <f ca="1">IF(DATEDIF([2]Arkusz1!S47,TODAY(),"Y")&gt;21,0,DATEDIF([2]Arkusz1!S47,TODAY(),"Y"))</f>
        <v>14</v>
      </c>
      <c r="K43" s="4" t="str">
        <f>[2]Arkusz1!T47</f>
        <v>Podstawowa</v>
      </c>
      <c r="L43" s="216">
        <f>[2]Arkusz1!U47</f>
        <v>7</v>
      </c>
      <c r="M43" s="4" t="str">
        <f>[2]Arkusz1!P47</f>
        <v>Język angielski</v>
      </c>
      <c r="N43" s="4" t="str">
        <f>[2]Arkusz1!Q47</f>
        <v>Ósmoklasisty</v>
      </c>
      <c r="O43" s="4" t="str">
        <f>[2]Arkusz1!V47</f>
        <v>Tak (lub kolejny członek rodziny)</v>
      </c>
      <c r="P43" s="4">
        <f t="shared" si="0"/>
        <v>2</v>
      </c>
      <c r="Q43" s="4" t="str">
        <f>[2]Arkusz1!Y47</f>
        <v>044/2025</v>
      </c>
      <c r="R43" s="4" t="s">
        <v>64</v>
      </c>
      <c r="S43" s="4" t="s">
        <v>65</v>
      </c>
      <c r="T43" s="4">
        <f>[2]Arkusz1!AA47</f>
        <v>15</v>
      </c>
      <c r="U43" s="4" t="str">
        <f>IF([2]Arkusz1!O47=[2]Arkusz1!$O$7,"Z",IF([2]Arkusz1!O47=[2]Arkusz1!$O$15,"Ix3",IF([2]Arkusz1!O47=[2]Arkusz1!$O$20,"Ix1","Ix2")))</f>
        <v>Z</v>
      </c>
      <c r="V43" s="4">
        <f>[2]Arkusz1!AM47</f>
        <v>64</v>
      </c>
      <c r="W43" s="4" t="str">
        <f>[2]Arkusz1!AB47</f>
        <v>wrzesień 2025</v>
      </c>
      <c r="X43" s="4" t="str">
        <f>_xlfn.TEXTBEFORE([2]Arkusz1!AC47," (")</f>
        <v>maj 2026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I43" s="4" t="s">
        <v>394</v>
      </c>
      <c r="AJ43" s="4" t="s">
        <v>392</v>
      </c>
      <c r="AK43" s="4" t="s">
        <v>393</v>
      </c>
      <c r="AL43" s="4">
        <v>86092111644</v>
      </c>
      <c r="AM43" s="4" t="s">
        <v>395</v>
      </c>
      <c r="AN43" s="4" t="s">
        <v>396</v>
      </c>
      <c r="AP43" s="4" t="str">
        <f>[1]Hist!$X53</f>
        <v>MAŁKIEWICZ AGNIESZKA WIELKI GŁĘBOCZ EK 4 87-313 WIELKI GŁĘBOCZEK</v>
      </c>
    </row>
    <row r="44" spans="1:42" x14ac:dyDescent="0.2">
      <c r="A44" s="4">
        <v>42</v>
      </c>
      <c r="B44" s="215">
        <f>[2]Arkusz1!B48</f>
        <v>45861.364351851851</v>
      </c>
      <c r="C44" s="44" t="str">
        <f>_xlfn.CONCAT([2]Arkusz1!G48," ",[2]Arkusz1!H48)</f>
        <v>Agnieszka Małkiewicz</v>
      </c>
      <c r="D44" s="4" t="str">
        <f>AJ44</f>
        <v>87-313 Brzozie</v>
      </c>
      <c r="E44" s="4" t="str">
        <f>AK44</f>
        <v>Wielki Głęboczek 4</v>
      </c>
      <c r="F44" s="218">
        <f>AL44</f>
        <v>86092111644</v>
      </c>
      <c r="G44" s="4" t="str">
        <f>[2]Arkusz1!I48</f>
        <v>+48 505 313 331</v>
      </c>
      <c r="H44" s="4" t="str">
        <f>[2]Arkusz1!J48</f>
        <v>agnieszka-pokojska@wp.pl</v>
      </c>
      <c r="I44" s="213" t="str">
        <f>_xlfn.CONCAT([2]Arkusz1!C48," ",[2]Arkusz1!D48)</f>
        <v>Katarzyna Małkiewicz</v>
      </c>
      <c r="J44" s="216">
        <f ca="1">IF(DATEDIF([2]Arkusz1!S48,TODAY(),"Y")&gt;21,0,DATEDIF([2]Arkusz1!S48,TODAY(),"Y"))</f>
        <v>10</v>
      </c>
      <c r="K44" s="4" t="str">
        <f>[2]Arkusz1!T48</f>
        <v>Podstawowa</v>
      </c>
      <c r="L44" s="216">
        <f>[2]Arkusz1!U48</f>
        <v>3</v>
      </c>
      <c r="M44" s="4" t="str">
        <f>[2]Arkusz1!P48</f>
        <v>Język angielski</v>
      </c>
      <c r="N44" s="4">
        <f>[2]Arkusz1!Q48</f>
        <v>0</v>
      </c>
      <c r="O44" s="4" t="str">
        <f>[2]Arkusz1!V48</f>
        <v>Nie</v>
      </c>
      <c r="P44" s="4">
        <f t="shared" si="0"/>
        <v>2</v>
      </c>
      <c r="Q44" s="4">
        <f>[2]Arkusz1!Y48</f>
        <v>0</v>
      </c>
      <c r="R44" s="4" t="s">
        <v>64</v>
      </c>
      <c r="S44" s="4" t="s">
        <v>65</v>
      </c>
      <c r="T44" s="4">
        <f>[2]Arkusz1!AA48</f>
        <v>15</v>
      </c>
      <c r="U44" s="4" t="str">
        <f>IF([2]Arkusz1!O48=[2]Arkusz1!$O$7,"Z",IF([2]Arkusz1!O48=[2]Arkusz1!$O$15,"Ix3",IF([2]Arkusz1!O48=[2]Arkusz1!$O$20,"Ix1","Ix2")))</f>
        <v>Z</v>
      </c>
      <c r="V44" s="4">
        <f>[2]Arkusz1!AM48</f>
        <v>64</v>
      </c>
      <c r="W44" s="4" t="str">
        <f>[2]Arkusz1!AB48</f>
        <v>wrzesień 2025</v>
      </c>
      <c r="X44" s="4" t="str">
        <f>_xlfn.TEXTBEFORE([2]Arkusz1!AC48," (")</f>
        <v>maj 2026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I44" s="4" t="s">
        <v>394</v>
      </c>
      <c r="AJ44" s="4" t="s">
        <v>392</v>
      </c>
      <c r="AK44" s="4" t="s">
        <v>393</v>
      </c>
      <c r="AL44" s="4">
        <v>86092111644</v>
      </c>
      <c r="AM44" s="4" t="s">
        <v>395</v>
      </c>
      <c r="AN44" s="4" t="s">
        <v>396</v>
      </c>
      <c r="AP44" s="4" t="str">
        <f>[1]Hist!$X54</f>
        <v>KINGA ZIELIŃSKA</v>
      </c>
    </row>
    <row r="45" spans="1:42" x14ac:dyDescent="0.2">
      <c r="A45" s="4">
        <v>43</v>
      </c>
      <c r="B45" s="215">
        <f>[2]Arkusz1!B49</f>
        <v>45864.852719907409</v>
      </c>
      <c r="C45" s="44" t="str">
        <f>_xlfn.CONCAT([2]Arkusz1!G49," ",[2]Arkusz1!H49)</f>
        <v>Hanna Gamalska</v>
      </c>
      <c r="D45" s="4" t="str">
        <f>AJ45</f>
        <v>14-200 Iława</v>
      </c>
      <c r="E45" s="4" t="str">
        <f>AK45</f>
        <v>Kościuszki 13/1</v>
      </c>
      <c r="F45" s="218">
        <v>79070108800</v>
      </c>
      <c r="G45" s="4" t="str">
        <f>[2]Arkusz1!I49</f>
        <v>+48 791 521 882</v>
      </c>
      <c r="H45" s="4" t="str">
        <f>[2]Arkusz1!J49</f>
        <v>t.gamalski@gmail.com</v>
      </c>
      <c r="I45" s="213" t="str">
        <f>_xlfn.CONCAT([2]Arkusz1!C49," ",[2]Arkusz1!D49)</f>
        <v>Dorota Gamalska</v>
      </c>
      <c r="J45" s="216">
        <f ca="1">IF(DATEDIF([2]Arkusz1!S49,TODAY(),"Y")&gt;21,0,DATEDIF([2]Arkusz1!S49,TODAY(),"Y"))</f>
        <v>17</v>
      </c>
      <c r="K45" s="4" t="str">
        <f>[2]Arkusz1!T49</f>
        <v>Średnia - liceum</v>
      </c>
      <c r="L45" s="216">
        <f>[2]Arkusz1!U49</f>
        <v>3</v>
      </c>
      <c r="M45" s="4" t="str">
        <f>[2]Arkusz1!P49</f>
        <v>Język angielski</v>
      </c>
      <c r="N45" s="4">
        <f>[2]Arkusz1!Q49</f>
        <v>0</v>
      </c>
      <c r="O45" s="4" t="str">
        <f>[2]Arkusz1!V49</f>
        <v>Tak (lub kolejny członek rodziny)</v>
      </c>
      <c r="P45" s="4">
        <f t="shared" si="0"/>
        <v>2</v>
      </c>
      <c r="Q45" s="4" t="str">
        <f>[2]Arkusz1!Y49</f>
        <v>104/2025</v>
      </c>
      <c r="R45" s="4" t="s">
        <v>64</v>
      </c>
      <c r="S45" s="4" t="s">
        <v>65</v>
      </c>
      <c r="T45" s="4">
        <f>[2]Arkusz1!AA49</f>
        <v>15</v>
      </c>
      <c r="U45" s="4" t="str">
        <f>IF([2]Arkusz1!O49=[2]Arkusz1!$O$7,"Z",IF([2]Arkusz1!O49=[2]Arkusz1!$O$15,"Ix3",IF([2]Arkusz1!O49=[2]Arkusz1!$O$20,"Ix1","Ix2")))</f>
        <v>Z</v>
      </c>
      <c r="V45" s="4">
        <f>[2]Arkusz1!AM49</f>
        <v>64</v>
      </c>
      <c r="W45" s="4" t="str">
        <f>[2]Arkusz1!AB49</f>
        <v>wrzesień 2025</v>
      </c>
      <c r="X45" s="4" t="str">
        <f>_xlfn.TEXTBEFORE([2]Arkusz1!AC49," (")</f>
        <v>maj 2026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I45" s="4" t="s">
        <v>397</v>
      </c>
      <c r="AJ45" s="4" t="s">
        <v>248</v>
      </c>
      <c r="AK45" s="4" t="s">
        <v>382</v>
      </c>
      <c r="AL45" s="4">
        <v>78030719232</v>
      </c>
      <c r="AM45" s="4" t="s">
        <v>398</v>
      </c>
      <c r="AN45" s="4" t="s">
        <v>399</v>
      </c>
      <c r="AP45" s="4" t="str">
        <f>[1]Hist!$X55</f>
        <v>KOPERA MARTA KOPERA MARCIN</v>
      </c>
    </row>
    <row r="46" spans="1:42" x14ac:dyDescent="0.2">
      <c r="A46" s="4">
        <v>44</v>
      </c>
      <c r="B46" s="215">
        <f>[2]Arkusz1!B50</f>
        <v>45866.683611111112</v>
      </c>
      <c r="C46" s="44" t="str">
        <f>_xlfn.CONCAT([2]Arkusz1!G50," ",[2]Arkusz1!H50)</f>
        <v>Kamila Kozłowska</v>
      </c>
      <c r="D46" s="4" t="str">
        <f>_xlfn.XLOOKUP(H46,[4]Sheet1!$I$2:$I$40,[4]Sheet1!$Y$2:$Y$40,,2,1)</f>
        <v>14-260 Lubawa</v>
      </c>
      <c r="E46" s="4" t="str">
        <f>_xlfn.XLOOKUP(H46,[4]Sheet1!$I$2:$I$40,[4]Sheet1!$K$2:$K$40,,2,1)</f>
        <v>Siostry Antoniny Schneider 1/26</v>
      </c>
      <c r="F46" s="218">
        <f>_xlfn.XLOOKUP(H46,[4]Sheet1!$I$2:$I$40,[4]Sheet1!$J$2:$J$40,,2,1)</f>
        <v>85071114304</v>
      </c>
      <c r="G46" s="4" t="str">
        <f>[2]Arkusz1!I50</f>
        <v>+48 696 465 902</v>
      </c>
      <c r="H46" s="4" t="str">
        <f>[2]Arkusz1!J50</f>
        <v>kozlowska.kamila.maria@gmail.com</v>
      </c>
      <c r="I46" s="213" t="str">
        <f>_xlfn.CONCAT([2]Arkusz1!C50," ",[2]Arkusz1!D50)</f>
        <v>Alan Fabisiak</v>
      </c>
      <c r="J46" s="216">
        <f ca="1">IF(DATEDIF([2]Arkusz1!S50,TODAY(),"Y")&gt;21,0,DATEDIF([2]Arkusz1!S50,TODAY(),"Y"))</f>
        <v>11</v>
      </c>
      <c r="K46" s="4" t="str">
        <f>[2]Arkusz1!T50</f>
        <v>Podstawowa</v>
      </c>
      <c r="L46" s="216">
        <f>[2]Arkusz1!U50</f>
        <v>4</v>
      </c>
      <c r="M46" s="4" t="str">
        <f>[2]Arkusz1!P50</f>
        <v>Język angielski</v>
      </c>
      <c r="N46" s="4">
        <f>[2]Arkusz1!Q50</f>
        <v>0</v>
      </c>
      <c r="O46" s="4" t="str">
        <f>[2]Arkusz1!V50</f>
        <v>Nie</v>
      </c>
      <c r="P46" s="4">
        <f t="shared" si="0"/>
        <v>1</v>
      </c>
      <c r="Q46" s="4">
        <f>[2]Arkusz1!Y50</f>
        <v>0</v>
      </c>
      <c r="R46" s="4" t="s">
        <v>64</v>
      </c>
      <c r="S46" s="4" t="s">
        <v>65</v>
      </c>
      <c r="T46" s="4">
        <f>[2]Arkusz1!AA50</f>
        <v>5</v>
      </c>
      <c r="U46" s="4" t="str">
        <f>IF([2]Arkusz1!O50=[2]Arkusz1!$O$7,"Z",IF([2]Arkusz1!O50=[2]Arkusz1!$O$15,"Ix3",IF([2]Arkusz1!O50=[2]Arkusz1!$O$20,"Ix1","Ix2")))</f>
        <v>Z</v>
      </c>
      <c r="V46" s="4">
        <f>[2]Arkusz1!AM50</f>
        <v>64</v>
      </c>
      <c r="W46" s="4" t="str">
        <f>[2]Arkusz1!AB50</f>
        <v>wrzesień 2025</v>
      </c>
      <c r="X46" s="4" t="str">
        <f>_xlfn.TEXTBEFORE([2]Arkusz1!AC50," (")</f>
        <v>maj 2026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I46" s="4" t="s">
        <v>400</v>
      </c>
      <c r="AJ46" s="4" t="s">
        <v>351</v>
      </c>
      <c r="AK46" s="4" t="s">
        <v>401</v>
      </c>
      <c r="AL46" s="4">
        <v>85071114304</v>
      </c>
      <c r="AM46" s="4" t="s">
        <v>402</v>
      </c>
      <c r="AN46" s="4" t="s">
        <v>403</v>
      </c>
      <c r="AP46" s="4" t="str">
        <f>[1]Hist!$X56</f>
        <v>BEATA MARIA KUHNWALD</v>
      </c>
    </row>
    <row r="47" spans="1:42" x14ac:dyDescent="0.2">
      <c r="A47" s="4">
        <v>45</v>
      </c>
      <c r="B47" s="215">
        <f>[2]Arkusz1!B51</f>
        <v>45866.7891087963</v>
      </c>
      <c r="C47" s="44" t="str">
        <f>_xlfn.CONCAT([2]Arkusz1!G51," ",[2]Arkusz1!H51)</f>
        <v>Magdalena Smoczyńska</v>
      </c>
      <c r="D47" s="4" t="str">
        <f>_xlfn.XLOOKUP(H47,[4]Sheet1!$I$2:$I$40,[4]Sheet1!$Y$2:$Y$40,,2,1)</f>
        <v xml:space="preserve">14-200 Iława </v>
      </c>
      <c r="E47" s="4" t="str">
        <f>_xlfn.XLOOKUP(H47,[4]Sheet1!$I$2:$I$40,[4]Sheet1!$K$2:$K$40,,2,1)</f>
        <v>Skarszewo 56/1</v>
      </c>
      <c r="F47" s="218">
        <f>_xlfn.XLOOKUP(H47,[4]Sheet1!$I$2:$I$40,[4]Sheet1!$J$2:$J$40,,2,1)</f>
        <v>90042811027</v>
      </c>
      <c r="G47" s="4" t="str">
        <f>[2]Arkusz1!I51</f>
        <v>+48 533 946 324</v>
      </c>
      <c r="H47" s="4" t="str">
        <f>[2]Arkusz1!J51</f>
        <v>smoczynskam1@gmail.com</v>
      </c>
      <c r="I47" s="213" t="str">
        <f>_xlfn.CONCAT([2]Arkusz1!C51," ",[2]Arkusz1!D51)</f>
        <v>Weronika Smoczyńska</v>
      </c>
      <c r="J47" s="216">
        <f ca="1">IF(DATEDIF([2]Arkusz1!S51,TODAY(),"Y")&gt;21,0,DATEDIF([2]Arkusz1!S51,TODAY(),"Y"))</f>
        <v>15</v>
      </c>
      <c r="K47" s="4" t="str">
        <f>[2]Arkusz1!T51</f>
        <v>Podstawowa</v>
      </c>
      <c r="L47" s="216">
        <f>[2]Arkusz1!U51</f>
        <v>8</v>
      </c>
      <c r="M47" s="4" t="str">
        <f>[2]Arkusz1!P51</f>
        <v>Język angielski</v>
      </c>
      <c r="N47" s="4" t="str">
        <f>[2]Arkusz1!Q51</f>
        <v>Ósmoklasisty</v>
      </c>
      <c r="O47" s="4" t="str">
        <f>[2]Arkusz1!V51</f>
        <v>Tak (lub kolejny członek rodziny)</v>
      </c>
      <c r="P47" s="4">
        <f t="shared" si="0"/>
        <v>2</v>
      </c>
      <c r="Q47" s="4" t="str">
        <f>[2]Arkusz1!Y51</f>
        <v>011/2025</v>
      </c>
      <c r="R47" s="4" t="s">
        <v>64</v>
      </c>
      <c r="S47" s="4" t="s">
        <v>65</v>
      </c>
      <c r="T47" s="4">
        <f>[2]Arkusz1!AA51</f>
        <v>5</v>
      </c>
      <c r="U47" s="4" t="str">
        <f>IF([2]Arkusz1!O51=[2]Arkusz1!$O$7,"Z",IF([2]Arkusz1!O51=[2]Arkusz1!$O$15,"Ix3",IF([2]Arkusz1!O51=[2]Arkusz1!$O$20,"Ix1","Ix2")))</f>
        <v>Z</v>
      </c>
      <c r="V47" s="4">
        <f>[2]Arkusz1!AM51</f>
        <v>64</v>
      </c>
      <c r="W47" s="4" t="str">
        <f>[2]Arkusz1!AB51</f>
        <v>październik 2025</v>
      </c>
      <c r="X47" s="4" t="str">
        <f>_xlfn.TEXTBEFORE([2]Arkusz1!AC51," (")</f>
        <v>maj 2026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I47" s="4" t="s">
        <v>404</v>
      </c>
      <c r="AJ47" s="4" t="s">
        <v>258</v>
      </c>
      <c r="AK47" s="4" t="s">
        <v>405</v>
      </c>
      <c r="AL47" s="4">
        <v>90042811027</v>
      </c>
      <c r="AM47" s="4" t="s">
        <v>406</v>
      </c>
      <c r="AN47" s="4" t="s">
        <v>407</v>
      </c>
      <c r="AP47" s="4" t="str">
        <f>[1]Hist!$X57</f>
        <v>LR HEALTH&amp;BEAUTY SYSTEMS SP. Z O O.</v>
      </c>
    </row>
    <row r="48" spans="1:42" x14ac:dyDescent="0.2">
      <c r="A48" s="4">
        <v>46</v>
      </c>
      <c r="B48" s="215">
        <f>[2]Arkusz1!B52</f>
        <v>45866.792754629627</v>
      </c>
      <c r="C48" s="44" t="str">
        <f>_xlfn.CONCAT([2]Arkusz1!G52," ",[2]Arkusz1!H52)</f>
        <v>Magdalena Smoczyńska</v>
      </c>
      <c r="D48" s="4" t="str">
        <f>_xlfn.XLOOKUP(H48,[4]Sheet1!$I$2:$I$40,[4]Sheet1!$Y$2:$Y$40,,2,1)</f>
        <v xml:space="preserve">14-200 Iława </v>
      </c>
      <c r="E48" s="4" t="str">
        <f>_xlfn.XLOOKUP(H48,[4]Sheet1!$I$2:$I$40,[4]Sheet1!$K$2:$K$40,,2,1)</f>
        <v>Skarszewo 56/1</v>
      </c>
      <c r="F48" s="218">
        <f>_xlfn.XLOOKUP(H48,[4]Sheet1!$I$2:$I$40,[4]Sheet1!$J$2:$J$40,,2,1)</f>
        <v>90042811027</v>
      </c>
      <c r="G48" s="4" t="str">
        <f>[2]Arkusz1!I52</f>
        <v>+48 533 946 324</v>
      </c>
      <c r="H48" s="4" t="str">
        <f>[2]Arkusz1!J52</f>
        <v>smoczynskam1@gmail.com</v>
      </c>
      <c r="I48" s="213" t="str">
        <f>_xlfn.CONCAT([2]Arkusz1!C52," ",[2]Arkusz1!D52)</f>
        <v>Weronika Smoczyńska</v>
      </c>
      <c r="J48" s="216">
        <f ca="1">IF(DATEDIF([2]Arkusz1!S52,TODAY(),"Y")&gt;21,0,DATEDIF([2]Arkusz1!S52,TODAY(),"Y"))</f>
        <v>15</v>
      </c>
      <c r="K48" s="4" t="str">
        <f>[2]Arkusz1!T52</f>
        <v>Podstawowa</v>
      </c>
      <c r="L48" s="216">
        <f>[2]Arkusz1!U52</f>
        <v>8</v>
      </c>
      <c r="M48" s="4" t="str">
        <f>[2]Arkusz1!P52</f>
        <v>Matematyka</v>
      </c>
      <c r="N48" s="4" t="str">
        <f>[2]Arkusz1!Q52</f>
        <v>Ósmoklasisty</v>
      </c>
      <c r="O48" s="4" t="str">
        <f>[2]Arkusz1!V52</f>
        <v>Tak (lub kolejny członek rodziny)</v>
      </c>
      <c r="P48" s="4">
        <f t="shared" si="0"/>
        <v>2</v>
      </c>
      <c r="Q48" s="4" t="str">
        <f>[2]Arkusz1!Y52</f>
        <v>011/2025</v>
      </c>
      <c r="R48" s="4" t="s">
        <v>64</v>
      </c>
      <c r="S48" s="4" t="s">
        <v>65</v>
      </c>
      <c r="T48" s="4">
        <f>[2]Arkusz1!AA52</f>
        <v>5</v>
      </c>
      <c r="U48" s="4" t="str">
        <f>IF([2]Arkusz1!O52=[2]Arkusz1!$O$7,"Z",IF([2]Arkusz1!O52=[2]Arkusz1!$O$15,"Ix3",IF([2]Arkusz1!O52=[2]Arkusz1!$O$20,"Ix1","Ix2")))</f>
        <v>Ix3</v>
      </c>
      <c r="V48" s="4">
        <f>[2]Arkusz1!AM52</f>
        <v>64</v>
      </c>
      <c r="W48" s="4" t="str">
        <f>[2]Arkusz1!AB52</f>
        <v>październik 2025</v>
      </c>
      <c r="X48" s="4" t="str">
        <f>_xlfn.TEXTBEFORE([2]Arkusz1!AC52," (")</f>
        <v>maj 2026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I48" s="4" t="s">
        <v>404</v>
      </c>
      <c r="AJ48" s="4" t="s">
        <v>258</v>
      </c>
      <c r="AK48" s="4" t="s">
        <v>405</v>
      </c>
      <c r="AL48" s="4">
        <v>90042811027</v>
      </c>
      <c r="AM48" s="4" t="s">
        <v>406</v>
      </c>
      <c r="AN48" s="4" t="s">
        <v>407</v>
      </c>
      <c r="AP48" s="4" t="str">
        <f>[1]Hist!$X58</f>
        <v>WALDEMAR KLIMIK</v>
      </c>
    </row>
    <row r="49" spans="1:42" x14ac:dyDescent="0.2">
      <c r="A49" s="4">
        <v>47</v>
      </c>
      <c r="B49" s="215">
        <f>[2]Arkusz1!B53</f>
        <v>45866.904733796298</v>
      </c>
      <c r="C49" s="44" t="str">
        <f>_xlfn.CONCAT([2]Arkusz1!G53," ",[2]Arkusz1!H53)</f>
        <v>Anna Warmińska</v>
      </c>
      <c r="D49" s="4" t="str">
        <f>AJ49</f>
        <v>87-313 Brzozie</v>
      </c>
      <c r="E49" s="4" t="str">
        <f>AK49</f>
        <v>Brzozie 169</v>
      </c>
      <c r="F49" s="218">
        <f>AL49</f>
        <v>85121310302</v>
      </c>
      <c r="G49" s="4" t="str">
        <f>[2]Arkusz1!I53</f>
        <v>+48 503 054 169</v>
      </c>
      <c r="H49" s="4" t="str">
        <f>[2]Arkusz1!J53</f>
        <v>aniaanna1@o2.pl</v>
      </c>
      <c r="I49" s="213" t="str">
        <f>_xlfn.CONCAT([2]Arkusz1!C53," ",[2]Arkusz1!D53)</f>
        <v>Julia Warmińska</v>
      </c>
      <c r="J49" s="216">
        <f ca="1">IF(DATEDIF([2]Arkusz1!S53,TODAY(),"Y")&gt;21,0,DATEDIF([2]Arkusz1!S53,TODAY(),"Y"))</f>
        <v>14</v>
      </c>
      <c r="K49" s="4" t="str">
        <f>[2]Arkusz1!T53</f>
        <v>Podstawowa</v>
      </c>
      <c r="L49" s="216">
        <f>[2]Arkusz1!U53</f>
        <v>7</v>
      </c>
      <c r="M49" s="4" t="str">
        <f>[2]Arkusz1!P53</f>
        <v>Język angielski</v>
      </c>
      <c r="N49" s="4" t="str">
        <f>[2]Arkusz1!Q53</f>
        <v>Ósmoklasisty</v>
      </c>
      <c r="O49" s="4" t="str">
        <f>[2]Arkusz1!V53</f>
        <v>Tak (lub kolejny członek rodziny)</v>
      </c>
      <c r="P49" s="4">
        <f t="shared" si="0"/>
        <v>2</v>
      </c>
      <c r="Q49" s="4" t="str">
        <f>[2]Arkusz1!Y53</f>
        <v>042/2025</v>
      </c>
      <c r="R49" s="4" t="s">
        <v>64</v>
      </c>
      <c r="S49" s="4" t="s">
        <v>65</v>
      </c>
      <c r="T49" s="4">
        <f>[2]Arkusz1!AA53</f>
        <v>5</v>
      </c>
      <c r="U49" s="4" t="str">
        <f>IF([2]Arkusz1!O53=[2]Arkusz1!$O$7,"Z",IF([2]Arkusz1!O53=[2]Arkusz1!$O$15,"Ix3",IF([2]Arkusz1!O53=[2]Arkusz1!$O$20,"Ix1","Ix2")))</f>
        <v>Z</v>
      </c>
      <c r="V49" s="4">
        <f>[2]Arkusz1!AM53</f>
        <v>64</v>
      </c>
      <c r="W49" s="4" t="str">
        <f>[2]Arkusz1!AB53</f>
        <v>październik 2025</v>
      </c>
      <c r="X49" s="4" t="str">
        <f>_xlfn.TEXTBEFORE([2]Arkusz1!AC53," (")</f>
        <v>maj 2026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I49" s="4" t="s">
        <v>408</v>
      </c>
      <c r="AJ49" s="4" t="s">
        <v>392</v>
      </c>
      <c r="AK49" s="4" t="s">
        <v>409</v>
      </c>
      <c r="AL49" s="4">
        <v>85121310302</v>
      </c>
      <c r="AM49" s="4" t="s">
        <v>410</v>
      </c>
      <c r="AN49" s="4" t="s">
        <v>411</v>
      </c>
      <c r="AP49" s="4" t="str">
        <f>[1]Hist!$X59</f>
        <v>WIOLETTA BORUCKA</v>
      </c>
    </row>
    <row r="50" spans="1:42" x14ac:dyDescent="0.2">
      <c r="A50" s="4">
        <v>48</v>
      </c>
      <c r="B50" s="215">
        <f>[2]Arkusz1!B54</f>
        <v>45867.365613425929</v>
      </c>
      <c r="C50" s="44" t="str">
        <f>_xlfn.CONCAT([2]Arkusz1!G54," ",[2]Arkusz1!H54)</f>
        <v>Marek Lubieniecki</v>
      </c>
      <c r="D50" s="4" t="str">
        <f>_xlfn.XLOOKUP(H50,[4]Sheet1!$I$2:$I$40,[4]Sheet1!$Y$2:$Y$40,,2,1)</f>
        <v xml:space="preserve">13-300 Pacółtowo </v>
      </c>
      <c r="E50" s="4" t="str">
        <f>_xlfn.XLOOKUP(H50,[4]Sheet1!$I$2:$I$40,[4]Sheet1!$K$2:$K$40,,2,1)</f>
        <v>Kolorowa 17</v>
      </c>
      <c r="F50" s="218">
        <f>_xlfn.XLOOKUP(H50,[4]Sheet1!$I$2:$I$40,[4]Sheet1!$J$2:$J$40,,2,1)</f>
        <v>84110213059</v>
      </c>
      <c r="G50" s="4" t="str">
        <f>[2]Arkusz1!I54</f>
        <v>+48 510 990 993</v>
      </c>
      <c r="H50" s="4" t="str">
        <f>[2]Arkusz1!J54</f>
        <v>marko23237@wp.pl</v>
      </c>
      <c r="I50" s="213" t="str">
        <f>_xlfn.CONCAT([2]Arkusz1!C54," ",[2]Arkusz1!D54)</f>
        <v>Anna Lubieniecka</v>
      </c>
      <c r="J50" s="216">
        <f ca="1">IF(DATEDIF([2]Arkusz1!S54,TODAY(),"Y")&gt;21,0,DATEDIF([2]Arkusz1!S54,TODAY(),"Y"))</f>
        <v>12</v>
      </c>
      <c r="K50" s="4" t="str">
        <f>[2]Arkusz1!T54</f>
        <v>Podstawowa</v>
      </c>
      <c r="L50" s="216">
        <f>[2]Arkusz1!U54</f>
        <v>5</v>
      </c>
      <c r="M50" s="4" t="str">
        <f>[2]Arkusz1!P54</f>
        <v>Język angielski</v>
      </c>
      <c r="N50" s="4">
        <f>[2]Arkusz1!Q54</f>
        <v>0</v>
      </c>
      <c r="O50" s="4" t="str">
        <f>[2]Arkusz1!V54</f>
        <v>Tak (lub kolejny członek rodziny)</v>
      </c>
      <c r="P50" s="4">
        <f t="shared" si="0"/>
        <v>1</v>
      </c>
      <c r="Q50" s="4" t="str">
        <f>[2]Arkusz1!Y54</f>
        <v>039/2025</v>
      </c>
      <c r="R50" s="4" t="s">
        <v>64</v>
      </c>
      <c r="S50" s="4" t="s">
        <v>65</v>
      </c>
      <c r="T50" s="4">
        <f>[2]Arkusz1!AA54</f>
        <v>15</v>
      </c>
      <c r="U50" s="4" t="str">
        <f>IF([2]Arkusz1!O54=[2]Arkusz1!$O$7,"Z",IF([2]Arkusz1!O54=[2]Arkusz1!$O$15,"Ix3",IF([2]Arkusz1!O54=[2]Arkusz1!$O$20,"Ix1","Ix2")))</f>
        <v>Z</v>
      </c>
      <c r="V50" s="4">
        <f>[2]Arkusz1!AM54</f>
        <v>64</v>
      </c>
      <c r="W50" s="4" t="str">
        <f>[2]Arkusz1!AB54</f>
        <v>wrzesień 2025</v>
      </c>
      <c r="X50" s="4" t="str">
        <f>_xlfn.TEXTBEFORE([2]Arkusz1!AC54," (")</f>
        <v>maj 2026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I50" s="4" t="s">
        <v>412</v>
      </c>
      <c r="AJ50" s="4" t="s">
        <v>413</v>
      </c>
      <c r="AK50" s="4" t="s">
        <v>414</v>
      </c>
      <c r="AL50" s="4">
        <v>84110213059</v>
      </c>
      <c r="AM50" s="4" t="s">
        <v>415</v>
      </c>
      <c r="AN50" s="4" t="s">
        <v>416</v>
      </c>
      <c r="AP50" s="4" t="str">
        <f>[1]Hist!$X60</f>
        <v>AUTOPAY SPÓŁKA AKCYJNA UL. POWSTAŃC ÓW WARSZAWY 6 81-718 SOPOT</v>
      </c>
    </row>
    <row r="51" spans="1:42" x14ac:dyDescent="0.2">
      <c r="A51" s="4">
        <v>49</v>
      </c>
      <c r="B51" s="215">
        <f>[2]Arkusz1!B55</f>
        <v>45867.768784722219</v>
      </c>
      <c r="C51" s="44" t="str">
        <f>_xlfn.CONCAT([2]Arkusz1!G55," ",[2]Arkusz1!H55)</f>
        <v>Patrycja Krawczyk</v>
      </c>
      <c r="D51" s="4" t="str">
        <f>AJ51</f>
        <v>13-300 nowe Miasto lubawskie</v>
      </c>
      <c r="E51" s="4" t="str">
        <f>AK51</f>
        <v>Narutowicza 56F</v>
      </c>
      <c r="F51" s="218">
        <f>AL51</f>
        <v>85010611646</v>
      </c>
      <c r="G51" s="4" t="str">
        <f>[2]Arkusz1!I55</f>
        <v>+48 509 961 968</v>
      </c>
      <c r="H51" s="4" t="str">
        <f>[2]Arkusz1!J55</f>
        <v>bodek80@onet.eu</v>
      </c>
      <c r="I51" s="213" t="str">
        <f>_xlfn.CONCAT([2]Arkusz1!C55," ",[2]Arkusz1!D55)</f>
        <v>Jakub Krawczyk</v>
      </c>
      <c r="J51" s="216">
        <f ca="1">IF(DATEDIF([2]Arkusz1!S55,TODAY(),"Y")&gt;21,0,DATEDIF([2]Arkusz1!S55,TODAY(),"Y"))</f>
        <v>15</v>
      </c>
      <c r="K51" s="4" t="str">
        <f>[2]Arkusz1!T55</f>
        <v>Podstawowa</v>
      </c>
      <c r="L51" s="216">
        <f>[2]Arkusz1!U55</f>
        <v>8</v>
      </c>
      <c r="M51" s="4" t="str">
        <f>[2]Arkusz1!P55</f>
        <v>Język angielski</v>
      </c>
      <c r="N51" s="4" t="str">
        <f>[2]Arkusz1!Q55</f>
        <v>Ósmoklasisty</v>
      </c>
      <c r="O51" s="4" t="str">
        <f>[2]Arkusz1!V55</f>
        <v>Nie</v>
      </c>
      <c r="P51" s="4">
        <f t="shared" si="0"/>
        <v>2</v>
      </c>
      <c r="Q51" s="4">
        <f>[2]Arkusz1!Y55</f>
        <v>0</v>
      </c>
      <c r="R51" s="4" t="s">
        <v>64</v>
      </c>
      <c r="S51" s="4" t="s">
        <v>65</v>
      </c>
      <c r="T51" s="4">
        <f>[2]Arkusz1!AA55</f>
        <v>15</v>
      </c>
      <c r="U51" s="4" t="str">
        <f>IF([2]Arkusz1!O55=[2]Arkusz1!$O$7,"Z",IF([2]Arkusz1!O55=[2]Arkusz1!$O$15,"Ix3",IF([2]Arkusz1!O55=[2]Arkusz1!$O$20,"Ix1","Ix2")))</f>
        <v>Z</v>
      </c>
      <c r="V51" s="4">
        <f>[2]Arkusz1!AM55</f>
        <v>64</v>
      </c>
      <c r="W51" s="4" t="str">
        <f>[2]Arkusz1!AB55</f>
        <v>wrzesień 2025</v>
      </c>
      <c r="X51" s="4" t="str">
        <f>[2]Arkusz1!AC55</f>
        <v>kwiecień 2026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I51" s="4" t="s">
        <v>417</v>
      </c>
      <c r="AJ51" s="4" t="s">
        <v>418</v>
      </c>
      <c r="AK51" s="4" t="s">
        <v>419</v>
      </c>
      <c r="AL51" s="4">
        <v>85010611646</v>
      </c>
      <c r="AM51" s="4" t="s">
        <v>420</v>
      </c>
      <c r="AN51" s="4" t="s">
        <v>421</v>
      </c>
      <c r="AP51" s="4" t="str">
        <f>[1]Hist!$X61</f>
        <v>ENERGA OBRÓT SPÓŁKA AKCYJNA</v>
      </c>
    </row>
    <row r="52" spans="1:42" x14ac:dyDescent="0.2">
      <c r="A52" s="4">
        <v>50</v>
      </c>
      <c r="B52" s="215">
        <f>[2]Arkusz1!B56</f>
        <v>45868.821666666663</v>
      </c>
      <c r="C52" s="44" t="str">
        <f>_xlfn.CONCAT([2]Arkusz1!G56," ",[2]Arkusz1!H56)</f>
        <v>KINGA ZIELIŃSKA</v>
      </c>
      <c r="D52" s="4" t="s">
        <v>351</v>
      </c>
      <c r="E52" s="4" t="s">
        <v>422</v>
      </c>
      <c r="F52" s="218">
        <v>87060211340</v>
      </c>
      <c r="G52" s="4" t="str">
        <f>[2]Arkusz1!I56</f>
        <v>+48 513 875 594</v>
      </c>
      <c r="H52" s="4" t="str">
        <f>[2]Arkusz1!J56</f>
        <v>kzielinska46@wp.pl</v>
      </c>
      <c r="I52" s="213" t="str">
        <f>_xlfn.CONCAT([2]Arkusz1!C56," ",[2]Arkusz1!D56)</f>
        <v>AGATA ZIELIŃSKA</v>
      </c>
      <c r="J52" s="216">
        <f ca="1">IF(DATEDIF([2]Arkusz1!S56,TODAY(),"Y")&gt;21,0,DATEDIF([2]Arkusz1!S56,TODAY(),"Y"))</f>
        <v>15</v>
      </c>
      <c r="K52" s="4" t="str">
        <f>[2]Arkusz1!T56</f>
        <v>Podstawowa</v>
      </c>
      <c r="L52" s="216">
        <f>[2]Arkusz1!U56</f>
        <v>8</v>
      </c>
      <c r="M52" s="4" t="str">
        <f>[2]Arkusz1!P56</f>
        <v>Język angielski</v>
      </c>
      <c r="N52" s="4" t="str">
        <f>[2]Arkusz1!Q56</f>
        <v>Ósmoklasisty</v>
      </c>
      <c r="O52" s="4" t="str">
        <f>[2]Arkusz1!V56</f>
        <v>Tak (lub kolejny członek rodziny)</v>
      </c>
      <c r="P52" s="4">
        <f t="shared" si="0"/>
        <v>1</v>
      </c>
      <c r="Q52" s="4">
        <f>[2]Arkusz1!Y56</f>
        <v>0</v>
      </c>
      <c r="R52" s="4" t="s">
        <v>64</v>
      </c>
      <c r="S52" s="4" t="s">
        <v>65</v>
      </c>
      <c r="T52" s="4">
        <f>[2]Arkusz1!AA56</f>
        <v>25</v>
      </c>
      <c r="U52" s="4" t="str">
        <f>IF([2]Arkusz1!O56=[2]Arkusz1!$O$7,"Z",IF([2]Arkusz1!O56=[2]Arkusz1!$O$15,"Ix3",IF([2]Arkusz1!O56=[2]Arkusz1!$O$20,"Ix1","Ix2")))</f>
        <v>Z</v>
      </c>
      <c r="V52" s="4">
        <f>[2]Arkusz1!AM56</f>
        <v>64</v>
      </c>
      <c r="W52" s="4" t="str">
        <f>[2]Arkusz1!AB56</f>
        <v>wrzesień 2025</v>
      </c>
      <c r="X52" s="4" t="str">
        <f>_xlfn.TEXTBEFORE([2]Arkusz1!AC56," (")</f>
        <v>maj 2026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I52" s="4" t="s">
        <v>423</v>
      </c>
      <c r="AJ52" s="4" t="s">
        <v>351</v>
      </c>
      <c r="AK52" s="4" t="s">
        <v>422</v>
      </c>
      <c r="AL52" s="4">
        <v>87060211340</v>
      </c>
      <c r="AM52" s="4" t="s">
        <v>424</v>
      </c>
      <c r="AN52" s="4" t="s">
        <v>425</v>
      </c>
      <c r="AP52" s="4" t="str">
        <f>[1]Hist!$X62</f>
        <v>TOMASZ JERZY ROSIŃSKI</v>
      </c>
    </row>
    <row r="53" spans="1:42" x14ac:dyDescent="0.2">
      <c r="A53" s="4">
        <v>51</v>
      </c>
      <c r="B53" s="215">
        <f>[2]Arkusz1!B57</f>
        <v>45868.875590277778</v>
      </c>
      <c r="C53" s="44" t="str">
        <f>_xlfn.CONCAT([2]Arkusz1!G57," ",[2]Arkusz1!H57)</f>
        <v>Maksymilian Wilary</v>
      </c>
      <c r="D53" s="4" t="str">
        <f>_xlfn.XLOOKUP(H53,[4]Sheet1!$I$2:$I$40,[4]Sheet1!$Y$2:$Y$40,,2,1)</f>
        <v>14-200 Iława</v>
      </c>
      <c r="E53" s="4" t="str">
        <f>_xlfn.XLOOKUP(H53,[4]Sheet1!$I$2:$I$40,[4]Sheet1!$K$2:$K$40,,2,1)</f>
        <v>Kazimierza Odnowiciela 8</v>
      </c>
      <c r="F53" s="219" t="s">
        <v>426</v>
      </c>
      <c r="G53" s="4" t="str">
        <f>[2]Arkusz1!I57</f>
        <v>+48 733 236 057</v>
      </c>
      <c r="H53" s="4" t="str">
        <f>[2]Arkusz1!J57</f>
        <v>maksymilian5802@gmail.com</v>
      </c>
      <c r="I53" s="213" t="str">
        <f>_xlfn.CONCAT([2]Arkusz1!C57," ",[2]Arkusz1!D57)</f>
        <v>Maksymilian Wilary</v>
      </c>
      <c r="J53" s="216">
        <f ca="1">IF(DATEDIF([2]Arkusz1!S57,TODAY(),"Y")&gt;21,0,DATEDIF([2]Arkusz1!S57,TODAY(),"Y"))</f>
        <v>0</v>
      </c>
      <c r="K53" s="4">
        <f>[2]Arkusz1!T57</f>
        <v>0</v>
      </c>
      <c r="L53" s="216">
        <f>[2]Arkusz1!U57</f>
        <v>0</v>
      </c>
      <c r="M53" s="4" t="str">
        <f>[2]Arkusz1!P57</f>
        <v>Język angielski</v>
      </c>
      <c r="N53" s="4" t="str">
        <f>[2]Arkusz1!Q57</f>
        <v>Maturalny</v>
      </c>
      <c r="O53" s="4" t="str">
        <f>[2]Arkusz1!V57</f>
        <v>Tak (lub kolejny członek rodziny)</v>
      </c>
      <c r="P53" s="4">
        <f t="shared" si="0"/>
        <v>1</v>
      </c>
      <c r="Q53" s="4" t="str">
        <f>[2]Arkusz1!Y57</f>
        <v>073/2025</v>
      </c>
      <c r="R53" s="4" t="s">
        <v>64</v>
      </c>
      <c r="S53" s="4" t="s">
        <v>65</v>
      </c>
      <c r="T53" s="4">
        <f>[2]Arkusz1!AA57</f>
        <v>15</v>
      </c>
      <c r="U53" s="4" t="str">
        <f>IF([2]Arkusz1!O57=[2]Arkusz1!$O$7,"Z",IF([2]Arkusz1!O57=[2]Arkusz1!$O$15,"Ix3",IF([2]Arkusz1!O57=[2]Arkusz1!$O$20,"Ix1","Ix2")))</f>
        <v>Z</v>
      </c>
      <c r="V53" s="4">
        <f>[2]Arkusz1!AM57</f>
        <v>58</v>
      </c>
      <c r="W53" s="4" t="str">
        <f>[2]Arkusz1!AB57</f>
        <v>wrzesień 2025</v>
      </c>
      <c r="X53" s="4" t="str">
        <f>_xlfn.TEXTBEFORE([2]Arkusz1!AC57," (")</f>
        <v>maj 2026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I53" s="4" t="s">
        <v>427</v>
      </c>
      <c r="AJ53" s="4" t="s">
        <v>248</v>
      </c>
      <c r="AK53" s="4" t="s">
        <v>428</v>
      </c>
      <c r="AL53" s="219" t="s">
        <v>426</v>
      </c>
      <c r="AM53" s="4" t="s">
        <v>429</v>
      </c>
      <c r="AN53" s="4" t="s">
        <v>430</v>
      </c>
      <c r="AP53" s="4" t="str">
        <f>[1]Hist!$X63</f>
        <v>DOROTA ANNA UMIŃSKA</v>
      </c>
    </row>
    <row r="54" spans="1:42" x14ac:dyDescent="0.2">
      <c r="A54" s="4">
        <v>52</v>
      </c>
      <c r="B54" s="215">
        <f>[2]Arkusz1!B58</f>
        <v>45873.402245370373</v>
      </c>
      <c r="C54" s="44" t="str">
        <f>_xlfn.CONCAT([2]Arkusz1!G58," ",[2]Arkusz1!H58)</f>
        <v>Alina Wróblewska</v>
      </c>
      <c r="D54" s="4" t="str">
        <f t="shared" ref="D54:F72" si="1">AJ54</f>
        <v xml:space="preserve">14-200  IŁAWA </v>
      </c>
      <c r="E54" s="4" t="str">
        <f t="shared" si="1"/>
        <v>Odnowiciela 2/16</v>
      </c>
      <c r="F54" s="218">
        <f t="shared" si="1"/>
        <v>86013105844</v>
      </c>
      <c r="G54" s="4" t="str">
        <f>[2]Arkusz1!I58</f>
        <v>+48 608 729 479</v>
      </c>
      <c r="H54" s="4" t="str">
        <f>[2]Arkusz1!J58</f>
        <v>alinakb@wp.pl</v>
      </c>
      <c r="I54" s="213" t="str">
        <f>_xlfn.CONCAT([2]Arkusz1!C58," ",[2]Arkusz1!D58)</f>
        <v>Mateusz Bajor</v>
      </c>
      <c r="J54" s="216">
        <f ca="1">IF(DATEDIF([2]Arkusz1!S58,TODAY(),"Y")&gt;21,0,DATEDIF([2]Arkusz1!S58,TODAY(),"Y"))</f>
        <v>18</v>
      </c>
      <c r="K54" s="4" t="str">
        <f>[2]Arkusz1!T58</f>
        <v>Średnia - liceum</v>
      </c>
      <c r="L54" s="216">
        <f>[2]Arkusz1!U58</f>
        <v>4</v>
      </c>
      <c r="M54" s="4" t="str">
        <f>[2]Arkusz1!P58</f>
        <v>Język angielski</v>
      </c>
      <c r="N54" s="4">
        <f>[2]Arkusz1!Q58</f>
        <v>0</v>
      </c>
      <c r="O54" s="4" t="str">
        <f>[2]Arkusz1!V58</f>
        <v>Tak (lub kolejny członek rodziny)</v>
      </c>
      <c r="P54" s="4">
        <f t="shared" si="0"/>
        <v>1</v>
      </c>
      <c r="Q54" s="4">
        <f>[2]Arkusz1!Y58</f>
        <v>0</v>
      </c>
      <c r="R54" s="4" t="s">
        <v>64</v>
      </c>
      <c r="S54" s="4" t="s">
        <v>64</v>
      </c>
      <c r="T54" s="4">
        <f>[2]Arkusz1!AA58</f>
        <v>5</v>
      </c>
      <c r="U54" s="4" t="str">
        <f>IF([2]Arkusz1!O58=[2]Arkusz1!$O$7,"Z",IF([2]Arkusz1!O58=[2]Arkusz1!$O$15,"Ix3",IF([2]Arkusz1!O58=[2]Arkusz1!$O$20,"Ix1","Ix2")))</f>
        <v>Ix1</v>
      </c>
      <c r="V54" s="4">
        <f>[2]Arkusz1!AM58</f>
        <v>33</v>
      </c>
      <c r="W54" s="4" t="str">
        <f>[2]Arkusz1!AB58</f>
        <v>wrzesień 2025</v>
      </c>
      <c r="X54" s="4" t="str">
        <f>[2]Arkusz1!AC58</f>
        <v>czerwiec 2026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I54" s="4" t="s">
        <v>431</v>
      </c>
      <c r="AJ54" s="4" t="s">
        <v>432</v>
      </c>
      <c r="AK54" s="4" t="s">
        <v>433</v>
      </c>
      <c r="AL54" s="4">
        <v>86013105844</v>
      </c>
      <c r="AM54" s="4" t="s">
        <v>434</v>
      </c>
      <c r="AN54" s="4" t="s">
        <v>435</v>
      </c>
      <c r="AP54" s="4" t="str">
        <f>[1]Hist!$X64</f>
        <v>MAREK KLIMIK PIASTOWSKA 6/38</v>
      </c>
    </row>
    <row r="55" spans="1:42" x14ac:dyDescent="0.2">
      <c r="A55" s="4">
        <v>53</v>
      </c>
      <c r="B55" s="215">
        <f>[2]Arkusz1!B59</f>
        <v>45873.440497685187</v>
      </c>
      <c r="C55" s="44" t="str">
        <f>_xlfn.CONCAT([2]Arkusz1!G59," ",[2]Arkusz1!H59)</f>
        <v>Monika Szefler</v>
      </c>
      <c r="D55" s="4" t="str">
        <f t="shared" si="1"/>
        <v xml:space="preserve">14-200  Iława </v>
      </c>
      <c r="E55" s="4" t="str">
        <f t="shared" si="1"/>
        <v>Szałkowo 102</v>
      </c>
      <c r="F55" s="218">
        <f t="shared" si="1"/>
        <v>85050407380</v>
      </c>
      <c r="G55" s="4" t="str">
        <f>[2]Arkusz1!I59</f>
        <v>+48 694 210 431</v>
      </c>
      <c r="H55" s="4" t="str">
        <f>[2]Arkusz1!J59</f>
        <v>monia8505@wp.pl</v>
      </c>
      <c r="I55" s="213" t="str">
        <f>_xlfn.CONCAT([2]Arkusz1!C59," ",[2]Arkusz1!D59)</f>
        <v>Hubert Szefler</v>
      </c>
      <c r="J55" s="216">
        <f ca="1">IF(DATEDIF([2]Arkusz1!S59,TODAY(),"Y")&gt;21,0,DATEDIF([2]Arkusz1!S59,TODAY(),"Y"))</f>
        <v>15</v>
      </c>
      <c r="K55" s="4" t="str">
        <f>[2]Arkusz1!T59</f>
        <v>Podstawowa</v>
      </c>
      <c r="L55" s="216">
        <f>[2]Arkusz1!U59</f>
        <v>8</v>
      </c>
      <c r="M55" s="4" t="str">
        <f>[2]Arkusz1!P59</f>
        <v>Język angielski</v>
      </c>
      <c r="N55" s="4" t="str">
        <f>[2]Arkusz1!Q59</f>
        <v>Ósmoklasisty</v>
      </c>
      <c r="O55" s="4" t="str">
        <f>[2]Arkusz1!V59</f>
        <v>Tak (lub kolejny członek rodziny)</v>
      </c>
      <c r="P55" s="4">
        <f t="shared" si="0"/>
        <v>1</v>
      </c>
      <c r="Q55" s="4" t="str">
        <f>[2]Arkusz1!Y59</f>
        <v>009/2025</v>
      </c>
      <c r="R55" s="4" t="s">
        <v>64</v>
      </c>
      <c r="S55" s="4" t="s">
        <v>64</v>
      </c>
      <c r="T55" s="4">
        <f>[2]Arkusz1!AA59</f>
        <v>5</v>
      </c>
      <c r="U55" s="4" t="str">
        <f>IF([2]Arkusz1!O59=[2]Arkusz1!$O$7,"Z",IF([2]Arkusz1!O59=[2]Arkusz1!$O$15,"Ix3",IF([2]Arkusz1!O59=[2]Arkusz1!$O$20,"Ix1","Ix2")))</f>
        <v>Ix3</v>
      </c>
      <c r="V55" s="4">
        <f>[2]Arkusz1!AM59</f>
        <v>33</v>
      </c>
      <c r="W55" s="4" t="str">
        <f>[2]Arkusz1!AB59</f>
        <v>wrzesień 2025</v>
      </c>
      <c r="X55" s="4" t="str">
        <f>[2]Arkusz1!AC59</f>
        <v>czerwiec 2026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I55" s="4" t="s">
        <v>436</v>
      </c>
      <c r="AJ55" s="4" t="s">
        <v>360</v>
      </c>
      <c r="AK55" s="4" t="s">
        <v>437</v>
      </c>
      <c r="AL55" s="4">
        <v>85050407380</v>
      </c>
      <c r="AM55" s="4" t="s">
        <v>438</v>
      </c>
      <c r="AN55" s="4" t="s">
        <v>439</v>
      </c>
      <c r="AP55" s="4" t="str">
        <f>[1]Hist!$X65</f>
        <v>ANNA WARMIŃSKA</v>
      </c>
    </row>
    <row r="56" spans="1:42" x14ac:dyDescent="0.2">
      <c r="A56" s="4">
        <v>54</v>
      </c>
      <c r="B56" s="215">
        <f>[2]Arkusz1!B60</f>
        <v>45873.94908564815</v>
      </c>
      <c r="C56" s="44" t="str">
        <f>_xlfn.CONCAT([2]Arkusz1!G60," ",[2]Arkusz1!H60)</f>
        <v>Alina Witkowska-Tatarek</v>
      </c>
      <c r="D56" s="4" t="str">
        <f t="shared" si="1"/>
        <v>13-220 Rybno</v>
      </c>
      <c r="E56" s="4" t="str">
        <f t="shared" si="1"/>
        <v>Lubawska, 45</v>
      </c>
      <c r="F56" s="218">
        <f t="shared" si="1"/>
        <v>82021214169</v>
      </c>
      <c r="G56" s="4" t="str">
        <f>[2]Arkusz1!I60</f>
        <v>+48 691 798 987</v>
      </c>
      <c r="H56" s="4" t="str">
        <f>[2]Arkusz1!J60</f>
        <v>alina.wit@interia.pl</v>
      </c>
      <c r="I56" s="213" t="str">
        <f>_xlfn.CONCAT([2]Arkusz1!C60," ",[2]Arkusz1!D60)</f>
        <v>Antonina Tatarek</v>
      </c>
      <c r="J56" s="216">
        <f ca="1">IF(DATEDIF([2]Arkusz1!S60,TODAY(),"Y")&gt;21,0,DATEDIF([2]Arkusz1!S60,TODAY(),"Y"))</f>
        <v>18</v>
      </c>
      <c r="K56" s="4" t="str">
        <f>[2]Arkusz1!T60</f>
        <v>Średnia - liceum</v>
      </c>
      <c r="L56" s="216">
        <f>[2]Arkusz1!U60</f>
        <v>4</v>
      </c>
      <c r="M56" s="4" t="str">
        <f>[2]Arkusz1!P60</f>
        <v>Matematyka</v>
      </c>
      <c r="N56" s="4" t="str">
        <f>[2]Arkusz1!Q60</f>
        <v>Maturalny</v>
      </c>
      <c r="O56" s="4" t="str">
        <f>[2]Arkusz1!V60</f>
        <v>Tak (lub kolejny członek rodziny)</v>
      </c>
      <c r="P56" s="4">
        <f t="shared" si="0"/>
        <v>4</v>
      </c>
      <c r="Q56" s="4" t="str">
        <f>[2]Arkusz1!Y60</f>
        <v>2025/006</v>
      </c>
      <c r="R56" s="4" t="s">
        <v>64</v>
      </c>
      <c r="S56" s="4" t="s">
        <v>64</v>
      </c>
      <c r="T56" s="4">
        <f>[2]Arkusz1!AA60</f>
        <v>15</v>
      </c>
      <c r="U56" s="4" t="str">
        <f>IF([2]Arkusz1!O60=[2]Arkusz1!$O$7,"Z",IF([2]Arkusz1!O60=[2]Arkusz1!$O$15,"Ix3",IF([2]Arkusz1!O60=[2]Arkusz1!$O$20,"Ix1","Ix2")))</f>
        <v>Ix3</v>
      </c>
      <c r="V56" s="4">
        <f>[2]Arkusz1!AM60</f>
        <v>33</v>
      </c>
      <c r="W56" s="4" t="str">
        <f>[2]Arkusz1!AB60</f>
        <v>wrzesień 2025</v>
      </c>
      <c r="X56" s="4" t="str">
        <f>_xlfn.TEXTBEFORE([2]Arkusz1!AC60," (")</f>
        <v>maj 2026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I56" s="4" t="s">
        <v>440</v>
      </c>
      <c r="AJ56" s="4" t="s">
        <v>441</v>
      </c>
      <c r="AK56" s="4" t="s">
        <v>442</v>
      </c>
      <c r="AL56" s="4">
        <v>82021214169</v>
      </c>
      <c r="AM56" s="4" t="s">
        <v>443</v>
      </c>
      <c r="AN56" s="4" t="s">
        <v>444</v>
      </c>
      <c r="AP56" s="4" t="str">
        <f>[1]Hist!$X66</f>
        <v>WOJCIECH ROSZAK OGRODOWA 9</v>
      </c>
    </row>
    <row r="57" spans="1:42" x14ac:dyDescent="0.2">
      <c r="A57" s="4">
        <v>55</v>
      </c>
      <c r="B57" s="215">
        <f>[2]Arkusz1!B61</f>
        <v>45873.952673611115</v>
      </c>
      <c r="C57" s="44" t="str">
        <f>_xlfn.CONCAT([2]Arkusz1!G61," ",[2]Arkusz1!H61)</f>
        <v>Alina Witkowska-Tatarek</v>
      </c>
      <c r="D57" s="4" t="str">
        <f t="shared" si="1"/>
        <v>13-220 Rybno</v>
      </c>
      <c r="E57" s="4" t="str">
        <f t="shared" si="1"/>
        <v>Lubawska, 45</v>
      </c>
      <c r="F57" s="218">
        <f t="shared" si="1"/>
        <v>82021214169</v>
      </c>
      <c r="G57" s="4" t="str">
        <f>[2]Arkusz1!I61</f>
        <v>+48 691 798 987</v>
      </c>
      <c r="H57" s="4" t="str">
        <f>[2]Arkusz1!J61</f>
        <v>alina.wit@interia.pl</v>
      </c>
      <c r="I57" s="213" t="str">
        <f>_xlfn.CONCAT([2]Arkusz1!C61," ",[2]Arkusz1!D61)</f>
        <v>Antonina Tatarek</v>
      </c>
      <c r="J57" s="216">
        <f ca="1">IF(DATEDIF([2]Arkusz1!S61,TODAY(),"Y")&gt;21,0,DATEDIF([2]Arkusz1!S61,TODAY(),"Y"))</f>
        <v>18</v>
      </c>
      <c r="K57" s="4" t="str">
        <f>[2]Arkusz1!T61</f>
        <v>Średnia - liceum</v>
      </c>
      <c r="L57" s="216">
        <f>[2]Arkusz1!U61</f>
        <v>4</v>
      </c>
      <c r="M57" s="4" t="str">
        <f>[2]Arkusz1!P61</f>
        <v>Język angielski</v>
      </c>
      <c r="N57" s="4" t="str">
        <f>[2]Arkusz1!Q61</f>
        <v>Maturalny</v>
      </c>
      <c r="O57" s="4" t="str">
        <f>[2]Arkusz1!V61</f>
        <v>Tak (lub kolejny członek rodziny)</v>
      </c>
      <c r="P57" s="4">
        <f t="shared" si="0"/>
        <v>4</v>
      </c>
      <c r="Q57" s="4" t="str">
        <f>[2]Arkusz1!Y61</f>
        <v>2025/006</v>
      </c>
      <c r="R57" s="4" t="s">
        <v>64</v>
      </c>
      <c r="S57" s="4" t="s">
        <v>64</v>
      </c>
      <c r="T57" s="4">
        <f>[2]Arkusz1!AA61</f>
        <v>15</v>
      </c>
      <c r="U57" s="4" t="str">
        <f>IF([2]Arkusz1!O61=[2]Arkusz1!$O$7,"Z",IF([2]Arkusz1!O61=[2]Arkusz1!$O$15,"Ix3",IF([2]Arkusz1!O61=[2]Arkusz1!$O$20,"Ix1","Ix2")))</f>
        <v>Ix3</v>
      </c>
      <c r="V57" s="4">
        <f>[2]Arkusz1!AM61</f>
        <v>33</v>
      </c>
      <c r="W57" s="4" t="str">
        <f>[2]Arkusz1!AB61</f>
        <v>wrzesień 2025</v>
      </c>
      <c r="X57" s="4" t="str">
        <f>_xlfn.TEXTBEFORE([2]Arkusz1!AC61," (")</f>
        <v>maj 2026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I57" s="4" t="s">
        <v>440</v>
      </c>
      <c r="AJ57" s="4" t="s">
        <v>441</v>
      </c>
      <c r="AK57" s="4" t="s">
        <v>442</v>
      </c>
      <c r="AL57" s="4">
        <v>82021214169</v>
      </c>
      <c r="AM57" s="4" t="s">
        <v>443</v>
      </c>
      <c r="AN57" s="4" t="s">
        <v>444</v>
      </c>
      <c r="AP57" s="4" t="str">
        <f>[1]Hist!$X67</f>
        <v>FUNDACJA ROZWOJU WARMII I MAZUR</v>
      </c>
    </row>
    <row r="58" spans="1:42" x14ac:dyDescent="0.2">
      <c r="A58" s="4">
        <v>56</v>
      </c>
      <c r="B58" s="215">
        <f>[2]Arkusz1!B62</f>
        <v>45873.956307870372</v>
      </c>
      <c r="C58" s="44" t="str">
        <f>_xlfn.CONCAT([2]Arkusz1!G62," ",[2]Arkusz1!H62)</f>
        <v>Alina Witkowska-Tatarek</v>
      </c>
      <c r="D58" s="4" t="str">
        <f t="shared" si="1"/>
        <v>13-220 Rybno</v>
      </c>
      <c r="E58" s="4" t="str">
        <f t="shared" si="1"/>
        <v>Lubawska, 45</v>
      </c>
      <c r="F58" s="218">
        <f t="shared" si="1"/>
        <v>82021214169</v>
      </c>
      <c r="G58" s="4" t="str">
        <f>[2]Arkusz1!I62</f>
        <v>+48 691 798 987</v>
      </c>
      <c r="H58" s="4" t="str">
        <f>[2]Arkusz1!J62</f>
        <v>alina.wit@interia.pl</v>
      </c>
      <c r="I58" s="213" t="str">
        <f>_xlfn.CONCAT([2]Arkusz1!C62," ",[2]Arkusz1!D62)</f>
        <v>Małgorzata Tatarek</v>
      </c>
      <c r="J58" s="216">
        <f ca="1">IF(DATEDIF([2]Arkusz1!S62,TODAY(),"Y")&gt;21,0,DATEDIF([2]Arkusz1!S62,TODAY(),"Y"))</f>
        <v>16</v>
      </c>
      <c r="K58" s="4" t="str">
        <f>[2]Arkusz1!T62</f>
        <v>Średnia - liceum</v>
      </c>
      <c r="L58" s="216">
        <f>[2]Arkusz1!U62</f>
        <v>2</v>
      </c>
      <c r="M58" s="4" t="str">
        <f>[2]Arkusz1!P62</f>
        <v>Język angielski</v>
      </c>
      <c r="N58" s="4">
        <f>[2]Arkusz1!Q62</f>
        <v>0</v>
      </c>
      <c r="O58" s="4" t="str">
        <f>[2]Arkusz1!V62</f>
        <v>Tak (lub kolejny członek rodziny)</v>
      </c>
      <c r="P58" s="4">
        <f t="shared" si="0"/>
        <v>4</v>
      </c>
      <c r="Q58" s="4" t="str">
        <f>[2]Arkusz1!Y62</f>
        <v>026/2025</v>
      </c>
      <c r="R58" s="4" t="s">
        <v>64</v>
      </c>
      <c r="S58" s="4" t="s">
        <v>64</v>
      </c>
      <c r="T58" s="4">
        <f>[2]Arkusz1!AA62</f>
        <v>15</v>
      </c>
      <c r="U58" s="4" t="str">
        <f>IF([2]Arkusz1!O62=[2]Arkusz1!$O$7,"Z",IF([2]Arkusz1!O62=[2]Arkusz1!$O$15,"Ix3",IF([2]Arkusz1!O62=[2]Arkusz1!$O$20,"Ix1","Ix2")))</f>
        <v>Ix3</v>
      </c>
      <c r="V58" s="4">
        <f>[2]Arkusz1!AM62</f>
        <v>33</v>
      </c>
      <c r="W58" s="4" t="str">
        <f>[2]Arkusz1!AB62</f>
        <v>wrzesień 2025</v>
      </c>
      <c r="X58" s="4" t="str">
        <f>_xlfn.TEXTBEFORE([2]Arkusz1!AC62," (")</f>
        <v>maj 2026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I58" s="4" t="s">
        <v>440</v>
      </c>
      <c r="AJ58" s="4" t="s">
        <v>441</v>
      </c>
      <c r="AK58" s="4" t="s">
        <v>442</v>
      </c>
      <c r="AL58" s="4">
        <v>82021214169</v>
      </c>
      <c r="AM58" s="4" t="s">
        <v>445</v>
      </c>
      <c r="AN58" s="4" t="s">
        <v>444</v>
      </c>
      <c r="AP58" s="4" t="str">
        <f>[1]Hist!$X68</f>
        <v>AUTOPAY SPÓŁKA AKCYJNA UL. POWSTAŃC ÓW WARSZAWY 6 81-718 SOPOT AUTOPAY</v>
      </c>
    </row>
    <row r="59" spans="1:42" x14ac:dyDescent="0.2">
      <c r="A59" s="4">
        <v>57</v>
      </c>
      <c r="B59" s="215">
        <f>[2]Arkusz1!B63</f>
        <v>45873.959409722222</v>
      </c>
      <c r="C59" s="44" t="str">
        <f>_xlfn.CONCAT([2]Arkusz1!G63," ",[2]Arkusz1!H63)</f>
        <v>Alina Witkowska-Tatarek</v>
      </c>
      <c r="D59" s="4" t="str">
        <f t="shared" si="1"/>
        <v>13-220 Rybno</v>
      </c>
      <c r="E59" s="4" t="str">
        <f t="shared" si="1"/>
        <v>Lubawska, 45</v>
      </c>
      <c r="F59" s="218">
        <f t="shared" si="1"/>
        <v>82021214169</v>
      </c>
      <c r="G59" s="4" t="str">
        <f>[2]Arkusz1!I63</f>
        <v>+48 789 889 095</v>
      </c>
      <c r="H59" s="4" t="str">
        <f>[2]Arkusz1!J63</f>
        <v>alina.wit@interia.pl</v>
      </c>
      <c r="I59" s="213" t="str">
        <f>_xlfn.CONCAT([2]Arkusz1!C63," ",[2]Arkusz1!D63)</f>
        <v>Małgorzata Tatarek</v>
      </c>
      <c r="J59" s="216">
        <f ca="1">IF(DATEDIF([2]Arkusz1!S63,TODAY(),"Y")&gt;21,0,DATEDIF([2]Arkusz1!S63,TODAY(),"Y"))</f>
        <v>16</v>
      </c>
      <c r="K59" s="4" t="str">
        <f>[2]Arkusz1!T63</f>
        <v>Średnia - liceum</v>
      </c>
      <c r="L59" s="216">
        <f>[2]Arkusz1!U63</f>
        <v>2</v>
      </c>
      <c r="M59" s="4" t="str">
        <f>[2]Arkusz1!P63</f>
        <v>Matematyka</v>
      </c>
      <c r="N59" s="4">
        <f>[2]Arkusz1!Q63</f>
        <v>0</v>
      </c>
      <c r="O59" s="4" t="str">
        <f>[2]Arkusz1!V63</f>
        <v>Tak (lub kolejny członek rodziny)</v>
      </c>
      <c r="P59" s="4">
        <f t="shared" si="0"/>
        <v>4</v>
      </c>
      <c r="Q59" s="4" t="str">
        <f>[2]Arkusz1!Y63</f>
        <v>026/2025</v>
      </c>
      <c r="R59" s="4" t="s">
        <v>64</v>
      </c>
      <c r="S59" s="4" t="s">
        <v>64</v>
      </c>
      <c r="T59" s="4">
        <f>[2]Arkusz1!AA63</f>
        <v>15</v>
      </c>
      <c r="U59" s="4" t="str">
        <f>IF([2]Arkusz1!O63=[2]Arkusz1!$O$7,"Z",IF([2]Arkusz1!O63=[2]Arkusz1!$O$15,"Ix3",IF([2]Arkusz1!O63=[2]Arkusz1!$O$20,"Ix1","Ix2")))</f>
        <v>Ix3</v>
      </c>
      <c r="V59" s="4">
        <f>[2]Arkusz1!AM63</f>
        <v>33</v>
      </c>
      <c r="W59" s="4" t="str">
        <f>[2]Arkusz1!AB63</f>
        <v>wrzesień 2025</v>
      </c>
      <c r="X59" s="4" t="str">
        <f>_xlfn.TEXTBEFORE([2]Arkusz1!AC63," (")</f>
        <v>maj 2026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I59" s="4" t="s">
        <v>440</v>
      </c>
      <c r="AJ59" s="4" t="s">
        <v>441</v>
      </c>
      <c r="AK59" s="4" t="s">
        <v>442</v>
      </c>
      <c r="AL59" s="4">
        <v>82021214169</v>
      </c>
      <c r="AM59" s="4" t="s">
        <v>445</v>
      </c>
      <c r="AN59" s="4" t="s">
        <v>444</v>
      </c>
      <c r="AP59" s="4" t="str">
        <f>[1]Hist!$X69</f>
        <v>BOŻENA CHRAPKOWSKA</v>
      </c>
    </row>
    <row r="60" spans="1:42" x14ac:dyDescent="0.2">
      <c r="A60" s="4">
        <v>58</v>
      </c>
      <c r="B60" s="215">
        <f>[2]Arkusz1!B64</f>
        <v>45875.708194444444</v>
      </c>
      <c r="C60" s="44" t="str">
        <f>_xlfn.CONCAT([2]Arkusz1!G64," ",[2]Arkusz1!H64)</f>
        <v>Marta Kuźniewska</v>
      </c>
      <c r="D60" s="4" t="str">
        <f t="shared" si="1"/>
        <v>14-200 Iława</v>
      </c>
      <c r="E60" s="4" t="str">
        <f t="shared" si="1"/>
        <v>Dobrawy 21a</v>
      </c>
      <c r="F60" s="218">
        <f t="shared" si="1"/>
        <v>78012609801</v>
      </c>
      <c r="G60" s="4" t="str">
        <f>[2]Arkusz1!I64</f>
        <v>+48 695 215 173</v>
      </c>
      <c r="H60" s="4" t="str">
        <f>[2]Arkusz1!J64</f>
        <v>mkuzniewska@wp.pl</v>
      </c>
      <c r="I60" s="213" t="str">
        <f>_xlfn.CONCAT([2]Arkusz1!C64," ",[2]Arkusz1!D64)</f>
        <v>Nadia Kuźniewska</v>
      </c>
      <c r="J60" s="216">
        <f ca="1">IF(DATEDIF([2]Arkusz1!S64,TODAY(),"Y")&gt;21,0,DATEDIF([2]Arkusz1!S64,TODAY(),"Y"))</f>
        <v>18</v>
      </c>
      <c r="K60" s="4" t="str">
        <f>[2]Arkusz1!T64</f>
        <v>Średnia - liceum</v>
      </c>
      <c r="L60" s="216">
        <f>[2]Arkusz1!U64</f>
        <v>4</v>
      </c>
      <c r="M60" s="4" t="str">
        <f>[2]Arkusz1!P64</f>
        <v>Język angielski</v>
      </c>
      <c r="N60" s="4" t="str">
        <f>[2]Arkusz1!Q64</f>
        <v>Maturalny</v>
      </c>
      <c r="O60" s="4" t="str">
        <f>[2]Arkusz1!V64</f>
        <v>Tak (lub kolejny członek rodziny)</v>
      </c>
      <c r="P60" s="4">
        <f t="shared" si="0"/>
        <v>1</v>
      </c>
      <c r="Q60" s="4" t="str">
        <f>[2]Arkusz1!Y64</f>
        <v>063/2025</v>
      </c>
      <c r="R60" s="4" t="s">
        <v>64</v>
      </c>
      <c r="S60" s="4" t="s">
        <v>64</v>
      </c>
      <c r="T60" s="4">
        <f>[2]Arkusz1!AA64</f>
        <v>5</v>
      </c>
      <c r="U60" s="4" t="str">
        <f>IF([2]Arkusz1!O64=[2]Arkusz1!$O$7,"Z",IF([2]Arkusz1!O64=[2]Arkusz1!$O$15,"Ix3",IF([2]Arkusz1!O64=[2]Arkusz1!$O$20,"Ix1","Ix2")))</f>
        <v>Z</v>
      </c>
      <c r="V60" s="4">
        <f>[2]Arkusz1!AM64</f>
        <v>58</v>
      </c>
      <c r="W60" s="4" t="str">
        <f>[2]Arkusz1!AB64</f>
        <v>wrzesień 2025</v>
      </c>
      <c r="X60" s="4" t="str">
        <f>_xlfn.TEXTBEFORE([2]Arkusz1!AC64," (")</f>
        <v>maj 2026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I60" s="4" t="s">
        <v>446</v>
      </c>
      <c r="AJ60" s="4" t="s">
        <v>248</v>
      </c>
      <c r="AK60" s="4" t="s">
        <v>447</v>
      </c>
      <c r="AL60" s="4">
        <v>78012609801</v>
      </c>
      <c r="AM60" s="4" t="s">
        <v>448</v>
      </c>
      <c r="AN60" s="4" t="s">
        <v>449</v>
      </c>
      <c r="AP60" s="4" t="str">
        <f>[1]Hist!$X70</f>
        <v>POWIAT IŁAWSKI - POWIATOWY URZĄD PRACY W IŁAWIE</v>
      </c>
    </row>
    <row r="61" spans="1:42" x14ac:dyDescent="0.2">
      <c r="A61" s="4">
        <v>59</v>
      </c>
      <c r="B61" s="215">
        <f>[2]Arkusz1!B65</f>
        <v>45877.826990740738</v>
      </c>
      <c r="C61" s="44" t="str">
        <f>_xlfn.CONCAT([2]Arkusz1!G65," ",[2]Arkusz1!H65)</f>
        <v>Patrycja Krawczyk</v>
      </c>
      <c r="D61" s="4" t="str">
        <f t="shared" si="1"/>
        <v xml:space="preserve">14-200  Iława </v>
      </c>
      <c r="E61" s="4" t="str">
        <f t="shared" si="1"/>
        <v>Matejki 1/76</v>
      </c>
      <c r="F61" s="218">
        <f t="shared" si="1"/>
        <v>80021209068</v>
      </c>
      <c r="G61" s="4" t="str">
        <f>[2]Arkusz1!I65</f>
        <v>+48 509 961 968</v>
      </c>
      <c r="H61" s="4" t="str">
        <f>[2]Arkusz1!J65</f>
        <v>bodek80@onet.eu</v>
      </c>
      <c r="I61" s="213" t="str">
        <f>_xlfn.CONCAT([2]Arkusz1!C65," ",[2]Arkusz1!D65)</f>
        <v>Jakub Krawczyk</v>
      </c>
      <c r="J61" s="216">
        <f ca="1">IF(DATEDIF([2]Arkusz1!S65,TODAY(),"Y")&gt;21,0,DATEDIF([2]Arkusz1!S65,TODAY(),"Y"))</f>
        <v>15</v>
      </c>
      <c r="K61" s="4" t="str">
        <f>[2]Arkusz1!T65</f>
        <v>Podstawowa</v>
      </c>
      <c r="L61" s="216">
        <f>[2]Arkusz1!U65</f>
        <v>8</v>
      </c>
      <c r="M61" s="4" t="str">
        <f>[2]Arkusz1!P65</f>
        <v>Język polski</v>
      </c>
      <c r="N61" s="4" t="str">
        <f>[2]Arkusz1!Q65</f>
        <v>Ósmoklasisty</v>
      </c>
      <c r="O61" s="4" t="str">
        <f>[2]Arkusz1!V65</f>
        <v>Nie</v>
      </c>
      <c r="P61" s="4">
        <f t="shared" si="0"/>
        <v>2</v>
      </c>
      <c r="Q61" s="4">
        <f>[2]Arkusz1!Y65</f>
        <v>0</v>
      </c>
      <c r="R61" s="4" t="s">
        <v>64</v>
      </c>
      <c r="S61" s="4" t="s">
        <v>64</v>
      </c>
      <c r="T61" s="4">
        <f>[2]Arkusz1!AA65</f>
        <v>15</v>
      </c>
      <c r="U61" s="4" t="str">
        <f>IF([2]Arkusz1!O65=[2]Arkusz1!$O$7,"Z",IF([2]Arkusz1!O65=[2]Arkusz1!$O$15,"Ix3",IF([2]Arkusz1!O65=[2]Arkusz1!$O$20,"Ix1","Ix2")))</f>
        <v>Z</v>
      </c>
      <c r="V61" s="4">
        <f>[2]Arkusz1!AM65</f>
        <v>64</v>
      </c>
      <c r="W61" s="4" t="str">
        <f>[2]Arkusz1!AB65</f>
        <v>wrzesień 2025</v>
      </c>
      <c r="X61" s="4" t="str">
        <f>[2]Arkusz1!AC65</f>
        <v>kwiecień 2026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I61" s="4" t="s">
        <v>417</v>
      </c>
      <c r="AJ61" s="4" t="s">
        <v>360</v>
      </c>
      <c r="AK61" s="4" t="s">
        <v>450</v>
      </c>
      <c r="AL61" s="4">
        <v>80021209068</v>
      </c>
      <c r="AM61" s="4" t="s">
        <v>420</v>
      </c>
      <c r="AN61" s="4" t="s">
        <v>421</v>
      </c>
      <c r="AP61" s="4" t="str">
        <f>[1]Hist!$X71</f>
        <v>DARTRADE DARIA WRUKOWSKA</v>
      </c>
    </row>
    <row r="62" spans="1:42" x14ac:dyDescent="0.2">
      <c r="A62" s="4">
        <v>60</v>
      </c>
      <c r="B62" s="215">
        <f>[2]Arkusz1!B66</f>
        <v>45881.879374999997</v>
      </c>
      <c r="C62" s="44" t="str">
        <f>_xlfn.CONCAT([2]Arkusz1!G66," ",[2]Arkusz1!H66)</f>
        <v>Alina Piotrowska</v>
      </c>
      <c r="D62" s="4" t="str">
        <f t="shared" si="1"/>
        <v>14-200  Nowa Wieś</v>
      </c>
      <c r="E62" s="4" t="str">
        <f t="shared" si="1"/>
        <v>Jowisza 64</v>
      </c>
      <c r="F62" s="218">
        <f t="shared" si="1"/>
        <v>76120712509</v>
      </c>
      <c r="G62" s="4" t="str">
        <f>[2]Arkusz1!I66</f>
        <v>+48 602 264 037</v>
      </c>
      <c r="H62" s="4" t="str">
        <f>[2]Arkusz1!J66</f>
        <v>alina_piotrowska@tlen.pl</v>
      </c>
      <c r="I62" s="213" t="str">
        <f>_xlfn.CONCAT([2]Arkusz1!C66," ",[2]Arkusz1!D66)</f>
        <v>Michał Piotrowski</v>
      </c>
      <c r="J62" s="216">
        <f ca="1">IF(DATEDIF([2]Arkusz1!S66,TODAY(),"Y")&gt;21,0,DATEDIF([2]Arkusz1!S66,TODAY(),"Y"))</f>
        <v>15</v>
      </c>
      <c r="K62" s="4" t="str">
        <f>[2]Arkusz1!T66</f>
        <v>Podstawowa</v>
      </c>
      <c r="L62" s="216">
        <f>[2]Arkusz1!U66</f>
        <v>8</v>
      </c>
      <c r="M62" s="4" t="str">
        <f>[2]Arkusz1!P66</f>
        <v>Język angielski</v>
      </c>
      <c r="N62" s="4" t="str">
        <f>[2]Arkusz1!Q66</f>
        <v>Ósmoklasisty</v>
      </c>
      <c r="O62" s="4" t="str">
        <f>[2]Arkusz1!V66</f>
        <v>Tak (lub kolejny członek rodziny)</v>
      </c>
      <c r="P62" s="4">
        <f t="shared" si="0"/>
        <v>2</v>
      </c>
      <c r="Q62" s="4" t="str">
        <f>[2]Arkusz1!Y66</f>
        <v>010/2025</v>
      </c>
      <c r="R62" s="4" t="s">
        <v>64</v>
      </c>
      <c r="S62" s="4" t="s">
        <v>64</v>
      </c>
      <c r="T62" s="4">
        <f>[2]Arkusz1!AA66</f>
        <v>15</v>
      </c>
      <c r="U62" s="4" t="str">
        <f>IF([2]Arkusz1!O66=[2]Arkusz1!$O$7,"Z",IF([2]Arkusz1!O66=[2]Arkusz1!$O$15,"Ix3",IF([2]Arkusz1!O66=[2]Arkusz1!$O$20,"Ix1","Ix2")))</f>
        <v>Z</v>
      </c>
      <c r="V62" s="4">
        <f>[2]Arkusz1!AM66</f>
        <v>64</v>
      </c>
      <c r="W62" s="4" t="str">
        <f>[2]Arkusz1!AB66</f>
        <v>wrzesień 2025</v>
      </c>
      <c r="X62" s="4" t="str">
        <f>_xlfn.TEXTBEFORE([2]Arkusz1!AC66," (")</f>
        <v>maj 2026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I62" s="4" t="s">
        <v>451</v>
      </c>
      <c r="AJ62" s="4" t="s">
        <v>452</v>
      </c>
      <c r="AK62" s="4" t="s">
        <v>453</v>
      </c>
      <c r="AL62" s="4">
        <v>76120712509</v>
      </c>
      <c r="AM62" s="4" t="s">
        <v>454</v>
      </c>
      <c r="AN62" s="4" t="s">
        <v>455</v>
      </c>
      <c r="AP62" s="4" t="str">
        <f>[1]Hist!$X72</f>
        <v>KAMILA GUROWSKA</v>
      </c>
    </row>
    <row r="63" spans="1:42" x14ac:dyDescent="0.2">
      <c r="A63" s="4">
        <v>61</v>
      </c>
      <c r="B63" s="215">
        <f>[2]Arkusz1!B67</f>
        <v>45881.897094907406</v>
      </c>
      <c r="C63" s="44" t="str">
        <f>_xlfn.CONCAT([2]Arkusz1!G67," ",[2]Arkusz1!H67)</f>
        <v>Alina Piotrowska</v>
      </c>
      <c r="D63" s="4" t="str">
        <f t="shared" si="1"/>
        <v>14-200  Iława</v>
      </c>
      <c r="E63" s="4" t="str">
        <f t="shared" si="1"/>
        <v xml:space="preserve"> Jowisza 64</v>
      </c>
      <c r="F63" s="218">
        <f t="shared" si="1"/>
        <v>76120712509</v>
      </c>
      <c r="G63" s="4" t="str">
        <f>[2]Arkusz1!I67</f>
        <v>+48 602 264 037</v>
      </c>
      <c r="H63" s="4" t="str">
        <f>[2]Arkusz1!J67</f>
        <v>alina_piotrowska@tlen.pl</v>
      </c>
      <c r="I63" s="213" t="str">
        <f>_xlfn.CONCAT([2]Arkusz1!C67," ",[2]Arkusz1!D67)</f>
        <v>Oliwia Piotrowska</v>
      </c>
      <c r="J63" s="216">
        <f ca="1">IF(DATEDIF([2]Arkusz1!S67,TODAY(),"Y")&gt;21,0,DATEDIF([2]Arkusz1!S67,TODAY(),"Y"))</f>
        <v>18</v>
      </c>
      <c r="K63" s="4" t="str">
        <f>[2]Arkusz1!T67</f>
        <v>Średnia - liceum</v>
      </c>
      <c r="L63" s="216">
        <f>[2]Arkusz1!U67</f>
        <v>4</v>
      </c>
      <c r="M63" s="4" t="str">
        <f>[2]Arkusz1!P67</f>
        <v>Matematyka</v>
      </c>
      <c r="N63" s="4" t="str">
        <f>[2]Arkusz1!Q67</f>
        <v>Maturalny</v>
      </c>
      <c r="O63" s="4" t="str">
        <f>[2]Arkusz1!V67</f>
        <v>Tak (lub kolejny członek rodziny)</v>
      </c>
      <c r="P63" s="4">
        <f t="shared" si="0"/>
        <v>2</v>
      </c>
      <c r="Q63" s="4" t="str">
        <f>[2]Arkusz1!Y67</f>
        <v>56/2025</v>
      </c>
      <c r="R63" s="4" t="s">
        <v>64</v>
      </c>
      <c r="S63" s="4" t="s">
        <v>64</v>
      </c>
      <c r="T63" s="4">
        <f>[2]Arkusz1!AA67</f>
        <v>15</v>
      </c>
      <c r="U63" s="4" t="str">
        <f>IF([2]Arkusz1!O67=[2]Arkusz1!$O$7,"Z",IF([2]Arkusz1!O67=[2]Arkusz1!$O$15,"Ix3",IF([2]Arkusz1!O67=[2]Arkusz1!$O$20,"Ix1","Ix2")))</f>
        <v>Z</v>
      </c>
      <c r="V63" s="4">
        <f>[2]Arkusz1!AM67</f>
        <v>58</v>
      </c>
      <c r="W63" s="4" t="str">
        <f>[2]Arkusz1!AB67</f>
        <v>wrzesień 2025</v>
      </c>
      <c r="X63" s="4" t="str">
        <f>_xlfn.TEXTBEFORE([2]Arkusz1!AC67," (")</f>
        <v>maj 2026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I63" s="4" t="s">
        <v>451</v>
      </c>
      <c r="AJ63" s="4" t="s">
        <v>307</v>
      </c>
      <c r="AK63" s="4" t="s">
        <v>456</v>
      </c>
      <c r="AL63" s="4">
        <v>76120712509</v>
      </c>
      <c r="AM63" s="4" t="s">
        <v>457</v>
      </c>
      <c r="AN63" s="4" t="s">
        <v>455</v>
      </c>
      <c r="AP63" s="4" t="str">
        <f>[1]Hist!$X73</f>
        <v>ŚWIĘCKI SŁAWOMIR</v>
      </c>
    </row>
    <row r="64" spans="1:42" x14ac:dyDescent="0.2">
      <c r="A64" s="4">
        <v>62</v>
      </c>
      <c r="B64" s="215">
        <f>[2]Arkusz1!B68</f>
        <v>45881.999664351853</v>
      </c>
      <c r="C64" s="44" t="str">
        <f>_xlfn.CONCAT([2]Arkusz1!G68," ",[2]Arkusz1!H68)</f>
        <v>Dorota Umińska</v>
      </c>
      <c r="D64" s="4" t="str">
        <f t="shared" si="1"/>
        <v xml:space="preserve">13-300 Nowe Miasto Lubawskie </v>
      </c>
      <c r="E64" s="4" t="str">
        <f t="shared" si="1"/>
        <v>Kornatki 38</v>
      </c>
      <c r="F64" s="218">
        <f t="shared" si="1"/>
        <v>87121909083</v>
      </c>
      <c r="G64" s="4" t="str">
        <f>[2]Arkusz1!I68</f>
        <v>+48 507 848 921</v>
      </c>
      <c r="H64" s="4" t="str">
        <f>[2]Arkusz1!J68</f>
        <v>dorota.u.23@wp.pl</v>
      </c>
      <c r="I64" s="213" t="str">
        <f>_xlfn.CONCAT([2]Arkusz1!C68," ",[2]Arkusz1!D68)</f>
        <v>Julian Kasprowicz</v>
      </c>
      <c r="J64" s="216">
        <f ca="1">IF(DATEDIF([2]Arkusz1!S68,TODAY(),"Y")&gt;21,0,DATEDIF([2]Arkusz1!S68,TODAY(),"Y"))</f>
        <v>9</v>
      </c>
      <c r="K64" s="4" t="str">
        <f>[2]Arkusz1!T68</f>
        <v>Podstawowa</v>
      </c>
      <c r="L64" s="216">
        <f>[2]Arkusz1!U68</f>
        <v>3</v>
      </c>
      <c r="M64" s="4" t="str">
        <f>[2]Arkusz1!P68</f>
        <v>Język angielski</v>
      </c>
      <c r="N64" s="4">
        <f>[2]Arkusz1!Q68</f>
        <v>0</v>
      </c>
      <c r="O64" s="4" t="str">
        <f>[2]Arkusz1!V68</f>
        <v>Tak (lub kolejny członek rodziny)</v>
      </c>
      <c r="P64" s="4">
        <f t="shared" si="0"/>
        <v>1</v>
      </c>
      <c r="Q64" s="4" t="str">
        <f>[2]Arkusz1!Y68</f>
        <v>003/2025</v>
      </c>
      <c r="R64" s="4" t="s">
        <v>64</v>
      </c>
      <c r="S64" s="4" t="s">
        <v>64</v>
      </c>
      <c r="T64" s="4">
        <f>[2]Arkusz1!AA68</f>
        <v>25</v>
      </c>
      <c r="U64" s="4" t="str">
        <f>IF([2]Arkusz1!O68=[2]Arkusz1!$O$7,"Z",IF([2]Arkusz1!O68=[2]Arkusz1!$O$15,"Ix3",IF([2]Arkusz1!O68=[2]Arkusz1!$O$20,"Ix1","Ix2")))</f>
        <v>Z</v>
      </c>
      <c r="V64" s="4">
        <f>[2]Arkusz1!AM68</f>
        <v>64</v>
      </c>
      <c r="W64" s="4" t="str">
        <f>[2]Arkusz1!AB68</f>
        <v>wrzesień 2025</v>
      </c>
      <c r="X64" s="4" t="str">
        <f>_xlfn.TEXTBEFORE([2]Arkusz1!AC68," (")</f>
        <v>maj 2026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I64" s="4" t="s">
        <v>458</v>
      </c>
      <c r="AJ64" s="4" t="s">
        <v>253</v>
      </c>
      <c r="AK64" s="4" t="s">
        <v>459</v>
      </c>
      <c r="AL64" s="4">
        <v>87121909083</v>
      </c>
      <c r="AM64" s="4" t="s">
        <v>460</v>
      </c>
      <c r="AN64" s="4" t="s">
        <v>461</v>
      </c>
      <c r="AP64" s="4" t="str">
        <f>[1]Hist!$X74</f>
        <v>PIOTR OCHOCKI WIŚNIOWA 15</v>
      </c>
    </row>
    <row r="65" spans="1:42" x14ac:dyDescent="0.2">
      <c r="A65" s="4">
        <v>63</v>
      </c>
      <c r="B65" s="215">
        <f>[2]Arkusz1!B69</f>
        <v>45882.720752314817</v>
      </c>
      <c r="C65" s="44" t="str">
        <f>_xlfn.CONCAT([2]Arkusz1!G69," ",[2]Arkusz1!H69)</f>
        <v>Aneta Markuszewska</v>
      </c>
      <c r="D65" s="4" t="str">
        <f t="shared" si="1"/>
        <v>14-200 Iława</v>
      </c>
      <c r="E65" s="4" t="str">
        <f t="shared" si="1"/>
        <v>Konstytucji 3c/14</v>
      </c>
      <c r="F65" s="218">
        <f t="shared" si="1"/>
        <v>84061814367</v>
      </c>
      <c r="G65" s="4" t="str">
        <f>[2]Arkusz1!I69</f>
        <v>+48 530 850 399</v>
      </c>
      <c r="H65" s="4" t="str">
        <f>[2]Arkusz1!J69</f>
        <v>aneti.nml@wp.pl</v>
      </c>
      <c r="I65" s="213" t="str">
        <f>_xlfn.CONCAT([2]Arkusz1!C69," ",[2]Arkusz1!D69)</f>
        <v>Julia Markuszewska</v>
      </c>
      <c r="J65" s="216">
        <f ca="1">IF(DATEDIF([2]Arkusz1!S69,TODAY(),"Y")&gt;21,0,DATEDIF([2]Arkusz1!S69,TODAY(),"Y"))</f>
        <v>13</v>
      </c>
      <c r="K65" s="4" t="str">
        <f>[2]Arkusz1!T69</f>
        <v>Podstawowa</v>
      </c>
      <c r="L65" s="216">
        <f>[2]Arkusz1!U69</f>
        <v>7</v>
      </c>
      <c r="M65" s="4" t="str">
        <f>[2]Arkusz1!P69</f>
        <v>Język angielski</v>
      </c>
      <c r="N65" s="4">
        <f>[2]Arkusz1!Q69</f>
        <v>0</v>
      </c>
      <c r="O65" s="4" t="str">
        <f>[2]Arkusz1!V69</f>
        <v>Tak (lub kolejny członek rodziny)</v>
      </c>
      <c r="P65" s="4">
        <f t="shared" si="0"/>
        <v>1</v>
      </c>
      <c r="Q65" s="4">
        <f>[2]Arkusz1!Y69</f>
        <v>0</v>
      </c>
      <c r="R65" s="4" t="s">
        <v>64</v>
      </c>
      <c r="S65" s="4" t="s">
        <v>64</v>
      </c>
      <c r="T65" s="4">
        <f>[2]Arkusz1!AA69</f>
        <v>15</v>
      </c>
      <c r="U65" s="4" t="str">
        <f>IF([2]Arkusz1!O69=[2]Arkusz1!$O$7,"Z",IF([2]Arkusz1!O69=[2]Arkusz1!$O$15,"Ix3",IF([2]Arkusz1!O69=[2]Arkusz1!$O$20,"Ix1","Ix2")))</f>
        <v>Ix1</v>
      </c>
      <c r="V65" s="4">
        <f>[2]Arkusz1!AM69</f>
        <v>33</v>
      </c>
      <c r="W65" s="4" t="str">
        <f>[2]Arkusz1!AB69</f>
        <v>wrzesień 2025</v>
      </c>
      <c r="X65" s="4" t="str">
        <f>_xlfn.TEXTBEFORE([2]Arkusz1!AC69," (")</f>
        <v>maj 2026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I65" s="4" t="s">
        <v>462</v>
      </c>
      <c r="AJ65" s="4" t="s">
        <v>248</v>
      </c>
      <c r="AK65" s="4" t="s">
        <v>463</v>
      </c>
      <c r="AL65" s="4">
        <v>84061814367</v>
      </c>
      <c r="AM65" s="4" t="s">
        <v>464</v>
      </c>
      <c r="AN65" s="4" t="s">
        <v>465</v>
      </c>
      <c r="AP65" s="4" t="str">
        <f>[1]Hist!$X75</f>
        <v>BOGDAN KRAWCZYK UL. STAROWIEJSKA 20 13-306 MARZĘCICE BOGDAN KRAWCZYK U</v>
      </c>
    </row>
    <row r="66" spans="1:42" x14ac:dyDescent="0.2">
      <c r="A66" s="4">
        <v>64</v>
      </c>
      <c r="B66" s="215">
        <f>[2]Arkusz1!B70</f>
        <v>45882.798680555556</v>
      </c>
      <c r="C66" s="44" t="str">
        <f>_xlfn.CONCAT([2]Arkusz1!G70," ",[2]Arkusz1!H70)</f>
        <v>Dagmara Zawieracz</v>
      </c>
      <c r="D66" s="4" t="str">
        <f t="shared" si="1"/>
        <v>13-300 Nowe Miasto Lubawskie</v>
      </c>
      <c r="E66" s="4" t="str">
        <f t="shared" si="1"/>
        <v>Grunwaldzka 11/21</v>
      </c>
      <c r="F66" s="218">
        <f t="shared" si="1"/>
        <v>91051005304</v>
      </c>
      <c r="G66" s="4" t="str">
        <f>[2]Arkusz1!I70</f>
        <v>+48 693 527 216</v>
      </c>
      <c r="H66" s="4" t="str">
        <f>[2]Arkusz1!J70</f>
        <v>dagmara.zaw@wp.pl</v>
      </c>
      <c r="I66" s="213" t="str">
        <f>_xlfn.CONCAT([2]Arkusz1!C70," ",[2]Arkusz1!D70)</f>
        <v>Jan Galiński</v>
      </c>
      <c r="J66" s="216">
        <f ca="1">IF(DATEDIF([2]Arkusz1!S70,TODAY(),"Y")&gt;21,0,DATEDIF([2]Arkusz1!S70,TODAY(),"Y"))</f>
        <v>9</v>
      </c>
      <c r="K66" s="4" t="str">
        <f>[2]Arkusz1!T70</f>
        <v>Podstawowa</v>
      </c>
      <c r="L66" s="216">
        <f>[2]Arkusz1!U70</f>
        <v>3</v>
      </c>
      <c r="M66" s="4" t="str">
        <f>[2]Arkusz1!P70</f>
        <v>Język angielski</v>
      </c>
      <c r="N66" s="4">
        <f>[2]Arkusz1!Q70</f>
        <v>0</v>
      </c>
      <c r="O66" s="4" t="str">
        <f>[2]Arkusz1!V70</f>
        <v>Tak (lub kolejny członek rodziny)</v>
      </c>
      <c r="P66" s="4">
        <f t="shared" si="0"/>
        <v>1</v>
      </c>
      <c r="Q66" s="4" t="str">
        <f>[2]Arkusz1!Y70</f>
        <v>006/2025</v>
      </c>
      <c r="R66" s="4" t="s">
        <v>64</v>
      </c>
      <c r="S66" s="4" t="s">
        <v>64</v>
      </c>
      <c r="T66" s="4">
        <f>[2]Arkusz1!AA70</f>
        <v>15</v>
      </c>
      <c r="U66" s="4" t="str">
        <f>IF([2]Arkusz1!O70=[2]Arkusz1!$O$7,"Z",IF([2]Arkusz1!O70=[2]Arkusz1!$O$15,"Ix3",IF([2]Arkusz1!O70=[2]Arkusz1!$O$20,"Ix1","Ix2")))</f>
        <v>Z</v>
      </c>
      <c r="V66" s="4">
        <f>[2]Arkusz1!AM70</f>
        <v>64</v>
      </c>
      <c r="W66" s="4" t="str">
        <f>[2]Arkusz1!AB70</f>
        <v>wrzesień 2025</v>
      </c>
      <c r="X66" s="4" t="str">
        <f>[2]Arkusz1!AC70</f>
        <v>sierpień 2026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I66" s="4" t="s">
        <v>466</v>
      </c>
      <c r="AJ66" s="4" t="s">
        <v>243</v>
      </c>
      <c r="AK66" s="4" t="s">
        <v>467</v>
      </c>
      <c r="AL66" s="4">
        <v>91051005304</v>
      </c>
      <c r="AM66" s="4" t="s">
        <v>468</v>
      </c>
      <c r="AN66" s="4" t="s">
        <v>469</v>
      </c>
      <c r="AP66" s="4" t="str">
        <f>[1]Hist!$X76</f>
        <v>EPRO SP. Z O.O. UL. MIKOŁAJSKA NR 25</v>
      </c>
    </row>
    <row r="67" spans="1:42" x14ac:dyDescent="0.2">
      <c r="A67" s="4">
        <v>65</v>
      </c>
      <c r="B67" s="215">
        <f>[2]Arkusz1!B71</f>
        <v>45883.599178240744</v>
      </c>
      <c r="C67" s="44" t="str">
        <f>_xlfn.CONCAT([2]Arkusz1!G71," ",[2]Arkusz1!H71)</f>
        <v>Aneta Detyna</v>
      </c>
      <c r="D67" s="4" t="str">
        <f t="shared" si="1"/>
        <v>14-200 Iława</v>
      </c>
      <c r="E67" s="4" t="str">
        <f t="shared" si="1"/>
        <v>Gdańska 5B/29</v>
      </c>
      <c r="F67" s="218">
        <f t="shared" si="1"/>
        <v>83122717722</v>
      </c>
      <c r="G67" s="4" t="str">
        <f>[2]Arkusz1!I71</f>
        <v>+48 515 394 676</v>
      </c>
      <c r="H67" s="4" t="str">
        <f>[2]Arkusz1!J71</f>
        <v>detyn@wp.pl</v>
      </c>
      <c r="I67" s="213" t="str">
        <f>_xlfn.CONCAT([2]Arkusz1!C71," ",[2]Arkusz1!D71)</f>
        <v>Wiktoria Detyna</v>
      </c>
      <c r="J67" s="216">
        <f ca="1">IF(DATEDIF([2]Arkusz1!S71,TODAY(),"Y")&gt;21,0,DATEDIF([2]Arkusz1!S71,TODAY(),"Y"))</f>
        <v>20</v>
      </c>
      <c r="K67" s="4" t="str">
        <f>[2]Arkusz1!T71</f>
        <v>Średnia - technikum</v>
      </c>
      <c r="L67" s="216">
        <f>[2]Arkusz1!U71</f>
        <v>5</v>
      </c>
      <c r="M67" s="4" t="str">
        <f>[2]Arkusz1!P71</f>
        <v>Matematyka</v>
      </c>
      <c r="N67" s="4" t="str">
        <f>[2]Arkusz1!Q71</f>
        <v>Maturalny</v>
      </c>
      <c r="O67" s="4" t="str">
        <f>[2]Arkusz1!V71</f>
        <v>Nie</v>
      </c>
      <c r="P67" s="4">
        <f t="shared" ref="P67:P130" si="2">COUNTIFS($C$3:$C$302,C67)</f>
        <v>3</v>
      </c>
      <c r="Q67" s="4">
        <f>[2]Arkusz1!Y71</f>
        <v>0</v>
      </c>
      <c r="R67" s="4" t="s">
        <v>64</v>
      </c>
      <c r="S67" s="4" t="s">
        <v>64</v>
      </c>
      <c r="T67" s="4">
        <f>[2]Arkusz1!AA71</f>
        <v>15</v>
      </c>
      <c r="U67" s="4" t="str">
        <f>IF([2]Arkusz1!O71=[2]Arkusz1!$O$7,"Z",IF([2]Arkusz1!O71=[2]Arkusz1!$O$15,"Ix3",IF([2]Arkusz1!O71=[2]Arkusz1!$O$20,"Ix1","Ix2")))</f>
        <v>Z</v>
      </c>
      <c r="V67" s="4">
        <f>[2]Arkusz1!AM71</f>
        <v>58</v>
      </c>
      <c r="W67" s="4" t="str">
        <f>[2]Arkusz1!AB71</f>
        <v>wrzesień 2025</v>
      </c>
      <c r="X67" s="4" t="str">
        <f>_xlfn.TEXTBEFORE([2]Arkusz1!AC71," (")</f>
        <v>maj 2026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I67" s="4" t="s">
        <v>470</v>
      </c>
      <c r="AJ67" s="4" t="s">
        <v>248</v>
      </c>
      <c r="AK67" s="4" t="s">
        <v>471</v>
      </c>
      <c r="AL67" s="4">
        <v>83122717722</v>
      </c>
      <c r="AM67" s="4" t="s">
        <v>472</v>
      </c>
      <c r="AN67" s="4" t="s">
        <v>473</v>
      </c>
      <c r="AP67" s="4" t="str">
        <f>[1]Hist!$X77</f>
        <v>CONSULTING ML LTD</v>
      </c>
    </row>
    <row r="68" spans="1:42" x14ac:dyDescent="0.2">
      <c r="A68" s="4">
        <v>66</v>
      </c>
      <c r="B68" s="215">
        <f>[2]Arkusz1!B72</f>
        <v>45883.602789351855</v>
      </c>
      <c r="C68" s="44" t="str">
        <f>_xlfn.CONCAT([2]Arkusz1!G72," ",[2]Arkusz1!H72)</f>
        <v>Aneta Detyna</v>
      </c>
      <c r="D68" s="4" t="str">
        <f t="shared" si="1"/>
        <v>14-200 Iława</v>
      </c>
      <c r="E68" s="4" t="str">
        <f t="shared" si="1"/>
        <v>Gdańska 5B/29</v>
      </c>
      <c r="F68" s="218">
        <f t="shared" si="1"/>
        <v>83122717722</v>
      </c>
      <c r="G68" s="4" t="str">
        <f>[2]Arkusz1!I72</f>
        <v>+48 515 394 676</v>
      </c>
      <c r="H68" s="4" t="str">
        <f>[2]Arkusz1!J72</f>
        <v>detyn@wp.pl</v>
      </c>
      <c r="I68" s="213" t="str">
        <f>_xlfn.CONCAT([2]Arkusz1!C72," ",[2]Arkusz1!D72)</f>
        <v>Wiktoria Detyna</v>
      </c>
      <c r="J68" s="216">
        <f ca="1">IF(DATEDIF([2]Arkusz1!S72,TODAY(),"Y")&gt;21,0,DATEDIF([2]Arkusz1!S72,TODAY(),"Y"))</f>
        <v>20</v>
      </c>
      <c r="K68" s="4" t="str">
        <f>[2]Arkusz1!T72</f>
        <v>Średnia - technikum</v>
      </c>
      <c r="L68" s="216">
        <f>[2]Arkusz1!U72</f>
        <v>5</v>
      </c>
      <c r="M68" s="4" t="str">
        <f>[2]Arkusz1!P72</f>
        <v>Język angielski</v>
      </c>
      <c r="N68" s="4" t="str">
        <f>[2]Arkusz1!Q72</f>
        <v>Maturalny</v>
      </c>
      <c r="O68" s="4" t="str">
        <f>[2]Arkusz1!V72</f>
        <v>Nie</v>
      </c>
      <c r="P68" s="4">
        <f t="shared" si="2"/>
        <v>3</v>
      </c>
      <c r="Q68" s="4">
        <f>[2]Arkusz1!Y72</f>
        <v>0</v>
      </c>
      <c r="R68" s="4" t="s">
        <v>64</v>
      </c>
      <c r="S68" s="4" t="s">
        <v>64</v>
      </c>
      <c r="T68" s="4">
        <f>[2]Arkusz1!AA72</f>
        <v>15</v>
      </c>
      <c r="U68" s="4" t="str">
        <f>IF([2]Arkusz1!O72=[2]Arkusz1!$O$7,"Z",IF([2]Arkusz1!O72=[2]Arkusz1!$O$15,"Ix3",IF([2]Arkusz1!O72=[2]Arkusz1!$O$20,"Ix1","Ix2")))</f>
        <v>Z</v>
      </c>
      <c r="V68" s="4">
        <f>[2]Arkusz1!AM72</f>
        <v>58</v>
      </c>
      <c r="W68" s="4" t="str">
        <f>[2]Arkusz1!AB72</f>
        <v>wrzesień 2025</v>
      </c>
      <c r="X68" s="4" t="str">
        <f>_xlfn.TEXTBEFORE([2]Arkusz1!AC72," (")</f>
        <v>maj 2026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I68" s="4" t="s">
        <v>470</v>
      </c>
      <c r="AJ68" s="4" t="s">
        <v>248</v>
      </c>
      <c r="AK68" s="4" t="s">
        <v>471</v>
      </c>
      <c r="AL68" s="4">
        <v>83122717722</v>
      </c>
      <c r="AM68" s="4" t="s">
        <v>472</v>
      </c>
      <c r="AN68" s="4" t="s">
        <v>473</v>
      </c>
      <c r="AP68" s="4" t="str">
        <f>[1]Hist!$X78</f>
        <v>DUMKIEWICZ PAWEŁ I JOANNA</v>
      </c>
    </row>
    <row r="69" spans="1:42" x14ac:dyDescent="0.2">
      <c r="A69" s="4">
        <v>67</v>
      </c>
      <c r="B69" s="215">
        <f>[2]Arkusz1!B73</f>
        <v>45883.605949074074</v>
      </c>
      <c r="C69" s="44" t="str">
        <f>_xlfn.CONCAT([2]Arkusz1!G73," ",[2]Arkusz1!H73)</f>
        <v>Aneta Detyna</v>
      </c>
      <c r="D69" s="4" t="str">
        <f t="shared" si="1"/>
        <v>14-200 Iława</v>
      </c>
      <c r="E69" s="4" t="str">
        <f t="shared" si="1"/>
        <v>Gdańska 5B/29</v>
      </c>
      <c r="F69" s="218">
        <f t="shared" si="1"/>
        <v>83122717722</v>
      </c>
      <c r="G69" s="4" t="str">
        <f>[2]Arkusz1!I73</f>
        <v>+48 515 394 676</v>
      </c>
      <c r="H69" s="4" t="str">
        <f>[2]Arkusz1!J73</f>
        <v>detyn@wp.pl</v>
      </c>
      <c r="I69" s="213" t="str">
        <f>_xlfn.CONCAT([2]Arkusz1!C73," ",[2]Arkusz1!D73)</f>
        <v>Wiktoria Detyna</v>
      </c>
      <c r="J69" s="216">
        <f ca="1">IF(DATEDIF([2]Arkusz1!S73,TODAY(),"Y")&gt;21,0,DATEDIF([2]Arkusz1!S73,TODAY(),"Y"))</f>
        <v>20</v>
      </c>
      <c r="K69" s="4" t="str">
        <f>[2]Arkusz1!T73</f>
        <v>Średnia - technikum</v>
      </c>
      <c r="L69" s="216">
        <f>[2]Arkusz1!U73</f>
        <v>5</v>
      </c>
      <c r="M69" s="4" t="str">
        <f>[2]Arkusz1!P73</f>
        <v>Język polski</v>
      </c>
      <c r="N69" s="4" t="str">
        <f>[2]Arkusz1!Q73</f>
        <v>Maturalny</v>
      </c>
      <c r="O69" s="4" t="str">
        <f>[2]Arkusz1!V73</f>
        <v>Nie</v>
      </c>
      <c r="P69" s="4">
        <f t="shared" si="2"/>
        <v>3</v>
      </c>
      <c r="Q69" s="4">
        <f>[2]Arkusz1!Y73</f>
        <v>0</v>
      </c>
      <c r="R69" s="4" t="s">
        <v>64</v>
      </c>
      <c r="S69" s="4" t="s">
        <v>64</v>
      </c>
      <c r="T69" s="4">
        <f>[2]Arkusz1!AA73</f>
        <v>15</v>
      </c>
      <c r="U69" s="4" t="str">
        <f>IF([2]Arkusz1!O73=[2]Arkusz1!$O$7,"Z",IF([2]Arkusz1!O73=[2]Arkusz1!$O$15,"Ix3",IF([2]Arkusz1!O73=[2]Arkusz1!$O$20,"Ix1","Ix2")))</f>
        <v>Z</v>
      </c>
      <c r="V69" s="4">
        <f>[2]Arkusz1!AM73</f>
        <v>58</v>
      </c>
      <c r="W69" s="4" t="str">
        <f>[2]Arkusz1!AB73</f>
        <v>wrzesień 2025</v>
      </c>
      <c r="X69" s="4" t="str">
        <f>_xlfn.TEXTBEFORE([2]Arkusz1!AC73," (")</f>
        <v>maj 2026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I69" s="4" t="s">
        <v>470</v>
      </c>
      <c r="AJ69" s="4" t="s">
        <v>248</v>
      </c>
      <c r="AK69" s="4" t="s">
        <v>471</v>
      </c>
      <c r="AL69" s="4">
        <v>83122717722</v>
      </c>
      <c r="AM69" s="4" t="s">
        <v>472</v>
      </c>
      <c r="AN69" s="4" t="s">
        <v>473</v>
      </c>
      <c r="AP69" s="4" t="str">
        <f>[1]Hist!$X79</f>
        <v>JURKIEWICZ KAMIL JURKIEWICZ JUSTYNA GOSPODARSTWO ROLNE</v>
      </c>
    </row>
    <row r="70" spans="1:42" x14ac:dyDescent="0.2">
      <c r="A70" s="4">
        <v>68</v>
      </c>
      <c r="B70" s="215">
        <f>[2]Arkusz1!B74</f>
        <v>45883.707557870373</v>
      </c>
      <c r="C70" s="44" t="str">
        <f>_xlfn.CONCAT([2]Arkusz1!G74," ",[2]Arkusz1!H74)</f>
        <v>Aneta Naworska</v>
      </c>
      <c r="D70" s="4" t="str">
        <f t="shared" si="1"/>
        <v>14-241 Ząbrowo</v>
      </c>
      <c r="E70" s="4" t="str">
        <f t="shared" si="1"/>
        <v>Kolejowa 30</v>
      </c>
      <c r="F70" s="218">
        <f t="shared" si="1"/>
        <v>74111508946</v>
      </c>
      <c r="G70" s="4" t="str">
        <f>[2]Arkusz1!I74</f>
        <v>+48 504 164 827</v>
      </c>
      <c r="H70" s="4" t="str">
        <f>[2]Arkusz1!J74</f>
        <v>aneta.naworska74@gmail.com</v>
      </c>
      <c r="I70" s="213" t="str">
        <f>_xlfn.CONCAT([2]Arkusz1!C74," ",[2]Arkusz1!D74)</f>
        <v>Natalia Naworska</v>
      </c>
      <c r="J70" s="216">
        <f ca="1">IF(DATEDIF([2]Arkusz1!S74,TODAY(),"Y")&gt;21,0,DATEDIF([2]Arkusz1!S74,TODAY(),"Y"))</f>
        <v>16</v>
      </c>
      <c r="K70" s="4" t="str">
        <f>[2]Arkusz1!T74</f>
        <v>Średnia - technikum</v>
      </c>
      <c r="L70" s="216">
        <f>[2]Arkusz1!U74</f>
        <v>2</v>
      </c>
      <c r="M70" s="4" t="str">
        <f>[2]Arkusz1!P74</f>
        <v>Matematyka</v>
      </c>
      <c r="N70" s="4">
        <f>[2]Arkusz1!Q74</f>
        <v>0</v>
      </c>
      <c r="O70" s="4" t="str">
        <f>[2]Arkusz1!V74</f>
        <v>Tak (lub kolejny członek rodziny)</v>
      </c>
      <c r="P70" s="4">
        <f t="shared" si="2"/>
        <v>1</v>
      </c>
      <c r="Q70" s="4">
        <f>[2]Arkusz1!Y74</f>
        <v>0</v>
      </c>
      <c r="R70" s="4" t="s">
        <v>64</v>
      </c>
      <c r="S70" s="4" t="s">
        <v>64</v>
      </c>
      <c r="T70" s="4">
        <f>[2]Arkusz1!AA74</f>
        <v>25</v>
      </c>
      <c r="U70" s="4" t="str">
        <f>IF([2]Arkusz1!O74=[2]Arkusz1!$O$7,"Z",IF([2]Arkusz1!O74=[2]Arkusz1!$O$15,"Ix3",IF([2]Arkusz1!O74=[2]Arkusz1!$O$20,"Ix1","Ix2")))</f>
        <v>Z</v>
      </c>
      <c r="V70" s="4">
        <f>[2]Arkusz1!AM74</f>
        <v>64</v>
      </c>
      <c r="W70" s="4" t="str">
        <f>[2]Arkusz1!AB74</f>
        <v>wrzesień 2025</v>
      </c>
      <c r="X70" s="4">
        <f>[2]Arkusz1!AC74</f>
        <v>46174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I70" s="4" t="s">
        <v>474</v>
      </c>
      <c r="AJ70" s="4" t="s">
        <v>475</v>
      </c>
      <c r="AK70" s="4" t="s">
        <v>476</v>
      </c>
      <c r="AL70" s="4">
        <v>74111508946</v>
      </c>
      <c r="AM70" s="4" t="s">
        <v>477</v>
      </c>
      <c r="AN70" s="4" t="s">
        <v>478</v>
      </c>
      <c r="AP70" s="4" t="str">
        <f>[1]Hist!$X80</f>
        <v>HETNAR-WÓJCICKA ALINA BARBARA WÓJCI CKI MACIEJ ŁUKASZ</v>
      </c>
    </row>
    <row r="71" spans="1:42" x14ac:dyDescent="0.2">
      <c r="A71" s="4">
        <v>69</v>
      </c>
      <c r="B71" s="215">
        <f>[2]Arkusz1!B75</f>
        <v>45886.877835648149</v>
      </c>
      <c r="C71" s="44" t="str">
        <f>_xlfn.CONCAT([2]Arkusz1!G75," ",[2]Arkusz1!H75)</f>
        <v>Monika Maraszek</v>
      </c>
      <c r="D71" s="4" t="str">
        <f t="shared" si="1"/>
        <v>14-240 Susz</v>
      </c>
      <c r="E71" s="4" t="str">
        <f t="shared" si="1"/>
        <v>Sucharskiego 9</v>
      </c>
      <c r="F71" s="218">
        <f t="shared" si="1"/>
        <v>80021214585</v>
      </c>
      <c r="G71" s="4" t="str">
        <f>[2]Arkusz1!I75</f>
        <v>48 882 730 136</v>
      </c>
      <c r="H71" s="4" t="str">
        <f>[2]Arkusz1!J75</f>
        <v>monika.maraszek@o2.pl</v>
      </c>
      <c r="I71" s="213" t="str">
        <f>_xlfn.CONCAT([2]Arkusz1!C75," ",[2]Arkusz1!D75)</f>
        <v>Zuzanna Maraszek</v>
      </c>
      <c r="J71" s="216">
        <f ca="1">IF(DATEDIF([2]Arkusz1!S75,TODAY(),"Y")&gt;21,0,DATEDIF([2]Arkusz1!S75,TODAY(),"Y"))</f>
        <v>0</v>
      </c>
      <c r="K71" s="4">
        <f>[2]Arkusz1!T75</f>
        <v>0</v>
      </c>
      <c r="L71" s="216">
        <f>[2]Arkusz1!U75</f>
        <v>0</v>
      </c>
      <c r="M71" s="4" t="str">
        <f>[2]Arkusz1!P75</f>
        <v>Język angielski</v>
      </c>
      <c r="N71" s="4" t="str">
        <f>[2]Arkusz1!Q75</f>
        <v>Maturalny</v>
      </c>
      <c r="O71" s="4" t="str">
        <f>[2]Arkusz1!V75</f>
        <v>Nie</v>
      </c>
      <c r="P71" s="4">
        <f t="shared" si="2"/>
        <v>1</v>
      </c>
      <c r="Q71" s="4">
        <f>[2]Arkusz1!Y75</f>
        <v>0</v>
      </c>
      <c r="R71" s="4" t="s">
        <v>64</v>
      </c>
      <c r="S71" s="4" t="s">
        <v>64</v>
      </c>
      <c r="T71" s="4">
        <f>[2]Arkusz1!AA75</f>
        <v>25</v>
      </c>
      <c r="U71" s="4" t="str">
        <f>IF([2]Arkusz1!O75=[2]Arkusz1!$O$7,"Z",IF([2]Arkusz1!O75=[2]Arkusz1!$O$15,"Ix3",IF([2]Arkusz1!O75=[2]Arkusz1!$O$20,"Ix1","Ix2")))</f>
        <v>Z</v>
      </c>
      <c r="V71" s="4">
        <f>[2]Arkusz1!AM75</f>
        <v>58</v>
      </c>
      <c r="W71" s="4" t="str">
        <f>[2]Arkusz1!AB75</f>
        <v>wrzesień 2025</v>
      </c>
      <c r="X71" s="4" t="str">
        <f>[2]Arkusz1!AC75</f>
        <v>kwiecień 2026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I71" s="4" t="s">
        <v>479</v>
      </c>
      <c r="AJ71" s="4" t="s">
        <v>480</v>
      </c>
      <c r="AK71" s="4" t="s">
        <v>481</v>
      </c>
      <c r="AL71" s="4">
        <v>80021214585</v>
      </c>
      <c r="AM71" s="4" t="s">
        <v>482</v>
      </c>
      <c r="AN71" s="4" t="s">
        <v>483</v>
      </c>
      <c r="AP71" s="4" t="str">
        <f>[1]Hist!$X81</f>
        <v>EWA ŁUCJA OSTROWSKA</v>
      </c>
    </row>
    <row r="72" spans="1:42" x14ac:dyDescent="0.2">
      <c r="A72" s="4">
        <v>70</v>
      </c>
      <c r="B72" s="215">
        <f>[2]Arkusz1!B76</f>
        <v>45887.349074074074</v>
      </c>
      <c r="C72" s="44" t="str">
        <f>_xlfn.CONCAT([2]Arkusz1!G76," ",[2]Arkusz1!H76)</f>
        <v>Magdalena Tarchanow</v>
      </c>
      <c r="D72" s="4" t="str">
        <f t="shared" si="1"/>
        <v>13-300 Pacółtowo</v>
      </c>
      <c r="E72" s="4" t="str">
        <f t="shared" si="1"/>
        <v>ul Łąkowa 4</v>
      </c>
      <c r="F72" s="218">
        <f t="shared" si="1"/>
        <v>84041314346</v>
      </c>
      <c r="G72" s="4" t="str">
        <f>[2]Arkusz1!I76</f>
        <v>+48 721 374 650</v>
      </c>
      <c r="H72" s="4" t="str">
        <f>[2]Arkusz1!J76</f>
        <v>m.tarchanow@o2.pl</v>
      </c>
      <c r="I72" s="213" t="str">
        <f>_xlfn.CONCAT([2]Arkusz1!C76," ",[2]Arkusz1!D76)</f>
        <v>Zuzanna Tarchanow</v>
      </c>
      <c r="J72" s="216">
        <f ca="1">IF(DATEDIF([2]Arkusz1!S76,TODAY(),"Y")&gt;21,0,DATEDIF([2]Arkusz1!S76,TODAY(),"Y"))</f>
        <v>15</v>
      </c>
      <c r="K72" s="4" t="str">
        <f>[2]Arkusz1!T76</f>
        <v>Średnia - liceum</v>
      </c>
      <c r="L72" s="216">
        <f>[2]Arkusz1!U76</f>
        <v>1</v>
      </c>
      <c r="M72" s="4" t="str">
        <f>[2]Arkusz1!P76</f>
        <v>Język angielski</v>
      </c>
      <c r="N72" s="4">
        <f>[2]Arkusz1!Q76</f>
        <v>0</v>
      </c>
      <c r="O72" s="4" t="str">
        <f>[2]Arkusz1!V76</f>
        <v>Tak (lub kolejny członek rodziny)</v>
      </c>
      <c r="P72" s="4">
        <f t="shared" si="2"/>
        <v>1</v>
      </c>
      <c r="Q72" s="4">
        <f>[2]Arkusz1!Y76</f>
        <v>0</v>
      </c>
      <c r="R72" s="4" t="s">
        <v>64</v>
      </c>
      <c r="S72" s="4" t="s">
        <v>64</v>
      </c>
      <c r="T72" s="4">
        <f>[2]Arkusz1!AA76</f>
        <v>15</v>
      </c>
      <c r="U72" s="4" t="str">
        <f>IF([2]Arkusz1!O76=[2]Arkusz1!$O$7,"Z",IF([2]Arkusz1!O76=[2]Arkusz1!$O$15,"Ix3",IF([2]Arkusz1!O76=[2]Arkusz1!$O$20,"Ix1","Ix2")))</f>
        <v>Ix1</v>
      </c>
      <c r="V72" s="4">
        <f>[2]Arkusz1!AM76</f>
        <v>33</v>
      </c>
      <c r="W72" s="4" t="str">
        <f>[2]Arkusz1!AB76</f>
        <v>wrzesień 2025</v>
      </c>
      <c r="X72" s="4" t="str">
        <f>[2]Arkusz1!AC76</f>
        <v>sierpień 2026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I72" s="4" t="s">
        <v>484</v>
      </c>
      <c r="AJ72" s="4" t="s">
        <v>485</v>
      </c>
      <c r="AK72" s="4" t="s">
        <v>486</v>
      </c>
      <c r="AL72" s="4">
        <v>84041314346</v>
      </c>
      <c r="AM72" s="4" t="s">
        <v>487</v>
      </c>
      <c r="AN72" s="4" t="s">
        <v>488</v>
      </c>
      <c r="AP72" s="4" t="str">
        <f>[1]Hist!$X82</f>
        <v>MONIKA ŁUKOMSKA</v>
      </c>
    </row>
    <row r="73" spans="1:42" x14ac:dyDescent="0.2">
      <c r="A73" s="4">
        <v>71</v>
      </c>
      <c r="B73" s="215">
        <f>[2]Arkusz1!B77</f>
        <v>45887.374513888892</v>
      </c>
      <c r="C73" s="44" t="str">
        <f>_xlfn.CONCAT([2]Arkusz1!G77," ",[2]Arkusz1!H77)</f>
        <v>Alina Hetnar-Wójcicka</v>
      </c>
      <c r="D73" s="4" t="s">
        <v>248</v>
      </c>
      <c r="E73" s="4" t="s">
        <v>489</v>
      </c>
      <c r="F73" s="218">
        <v>78122412845</v>
      </c>
      <c r="G73" s="4" t="str">
        <f>[2]Arkusz1!I77</f>
        <v>+48 669 231 289</v>
      </c>
      <c r="H73" s="4" t="str">
        <f>[2]Arkusz1!J77</f>
        <v>hetnarka@tlen.pl</v>
      </c>
      <c r="I73" s="213" t="str">
        <f>_xlfn.CONCAT([2]Arkusz1!C77," ",[2]Arkusz1!D77)</f>
        <v>Kacper Hetnar-Wójcicki</v>
      </c>
      <c r="J73" s="216">
        <f ca="1">IF(DATEDIF([2]Arkusz1!S77,TODAY(),"Y")&gt;21,0,DATEDIF([2]Arkusz1!S77,TODAY(),"Y"))</f>
        <v>12</v>
      </c>
      <c r="K73" s="4" t="str">
        <f>[2]Arkusz1!T77</f>
        <v>Podstawowa</v>
      </c>
      <c r="L73" s="216">
        <f>[2]Arkusz1!U77</f>
        <v>5</v>
      </c>
      <c r="M73" s="4" t="str">
        <f>[2]Arkusz1!P77</f>
        <v>Język angielski</v>
      </c>
      <c r="N73" s="4">
        <f>[2]Arkusz1!Q77</f>
        <v>0</v>
      </c>
      <c r="O73" s="4" t="str">
        <f>[2]Arkusz1!V77</f>
        <v>Tak (lub kolejny członek rodziny)</v>
      </c>
      <c r="P73" s="4">
        <f t="shared" si="2"/>
        <v>2</v>
      </c>
      <c r="Q73" s="4">
        <f>[2]Arkusz1!Y77</f>
        <v>0</v>
      </c>
      <c r="R73" s="4" t="s">
        <v>64</v>
      </c>
      <c r="S73" s="4" t="s">
        <v>64</v>
      </c>
      <c r="T73" s="4">
        <f>[2]Arkusz1!AA77</f>
        <v>5</v>
      </c>
      <c r="U73" s="4" t="str">
        <f>IF([2]Arkusz1!O77=[2]Arkusz1!$O$7,"Z",IF([2]Arkusz1!O77=[2]Arkusz1!$O$15,"Ix3",IF([2]Arkusz1!O77=[2]Arkusz1!$O$20,"Ix1","Ix2")))</f>
        <v>Z</v>
      </c>
      <c r="V73" s="4">
        <f>[2]Arkusz1!AM77</f>
        <v>64</v>
      </c>
      <c r="W73" s="4" t="str">
        <f>[2]Arkusz1!AB77</f>
        <v>wrzesień 2025</v>
      </c>
      <c r="X73" s="4" t="str">
        <f>_xlfn.TEXTBEFORE([2]Arkusz1!AC77," (")</f>
        <v>maj 2026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I73" s="4" t="s">
        <v>490</v>
      </c>
      <c r="AJ73" s="4" t="s">
        <v>248</v>
      </c>
      <c r="AK73" s="4" t="s">
        <v>489</v>
      </c>
      <c r="AL73" s="4">
        <v>78122412845</v>
      </c>
      <c r="AM73" s="4" t="s">
        <v>491</v>
      </c>
      <c r="AN73" s="4" t="s">
        <v>492</v>
      </c>
      <c r="AP73" s="4" t="str">
        <f>[1]Hist!$X83</f>
        <v>EWELINA JADWIGA ULIAS</v>
      </c>
    </row>
    <row r="74" spans="1:42" x14ac:dyDescent="0.2">
      <c r="A74" s="4">
        <v>72</v>
      </c>
      <c r="B74" s="215">
        <f>[2]Arkusz1!B78</f>
        <v>45887.549189814818</v>
      </c>
      <c r="C74" s="44" t="str">
        <f>_xlfn.CONCAT([2]Arkusz1!G78," ",[2]Arkusz1!H78)</f>
        <v>Ewa Ostrowska</v>
      </c>
      <c r="D74" s="4" t="str">
        <f t="shared" ref="D74:F80" si="3">AJ74</f>
        <v xml:space="preserve">14-220 Kisielice </v>
      </c>
      <c r="E74" s="4" t="str">
        <f t="shared" si="3"/>
        <v>Zagrodowa , 2A</v>
      </c>
      <c r="F74" s="218">
        <f t="shared" si="3"/>
        <v>83030416843</v>
      </c>
      <c r="G74" s="4" t="str">
        <f>[2]Arkusz1!I78</f>
        <v>+48 600 968 617</v>
      </c>
      <c r="H74" s="4" t="str">
        <f>[2]Arkusz1!J78</f>
        <v>ewa.ostrowska@opoczta.pl</v>
      </c>
      <c r="I74" s="213" t="str">
        <f>_xlfn.CONCAT([2]Arkusz1!C78," ",[2]Arkusz1!D78)</f>
        <v>Zuzanna Ostrowska</v>
      </c>
      <c r="J74" s="216">
        <f ca="1">IF(DATEDIF([2]Arkusz1!S78,TODAY(),"Y")&gt;21,0,DATEDIF([2]Arkusz1!S78,TODAY(),"Y"))</f>
        <v>17</v>
      </c>
      <c r="K74" s="4" t="str">
        <f>[2]Arkusz1!T78</f>
        <v>Średnia - liceum</v>
      </c>
      <c r="L74" s="216">
        <f>[2]Arkusz1!U78</f>
        <v>3</v>
      </c>
      <c r="M74" s="4" t="str">
        <f>[2]Arkusz1!P78</f>
        <v>Język angielski</v>
      </c>
      <c r="N74" s="4">
        <f>[2]Arkusz1!Q78</f>
        <v>0</v>
      </c>
      <c r="O74" s="4" t="str">
        <f>[2]Arkusz1!V78</f>
        <v>Tak (lub kolejny członek rodziny)</v>
      </c>
      <c r="P74" s="4">
        <f t="shared" si="2"/>
        <v>2</v>
      </c>
      <c r="Q74" s="4" t="str">
        <f>[2]Arkusz1!Y78</f>
        <v>050</v>
      </c>
      <c r="R74" s="4" t="s">
        <v>64</v>
      </c>
      <c r="S74" s="4" t="s">
        <v>64</v>
      </c>
      <c r="T74" s="4">
        <f>[2]Arkusz1!AA78</f>
        <v>15</v>
      </c>
      <c r="U74" s="4" t="str">
        <f>IF([2]Arkusz1!O78=[2]Arkusz1!$O$7,"Z",IF([2]Arkusz1!O78=[2]Arkusz1!$O$15,"Ix3",IF([2]Arkusz1!O78=[2]Arkusz1!$O$20,"Ix1","Ix2")))</f>
        <v>Ix1</v>
      </c>
      <c r="V74" s="4">
        <f>[2]Arkusz1!AM78</f>
        <v>33</v>
      </c>
      <c r="W74" s="4" t="str">
        <f>[2]Arkusz1!AB78</f>
        <v>wrzesień 2025</v>
      </c>
      <c r="X74" s="4" t="str">
        <f>_xlfn.TEXTBEFORE([2]Arkusz1!AC78," (")</f>
        <v>maj 2026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I74" s="4" t="s">
        <v>493</v>
      </c>
      <c r="AJ74" s="4" t="s">
        <v>494</v>
      </c>
      <c r="AK74" s="4" t="s">
        <v>495</v>
      </c>
      <c r="AL74" s="4">
        <v>83030416843</v>
      </c>
      <c r="AM74" s="4" t="s">
        <v>496</v>
      </c>
      <c r="AN74" s="4" t="s">
        <v>497</v>
      </c>
      <c r="AP74" s="4" t="str">
        <f>[1]Hist!$X84</f>
        <v>SAMANTA SZPAKOWSKA KS. JANA BATKE 4</v>
      </c>
    </row>
    <row r="75" spans="1:42" x14ac:dyDescent="0.2">
      <c r="A75" s="4">
        <v>73</v>
      </c>
      <c r="B75" s="215">
        <f>[2]Arkusz1!B79</f>
        <v>45887.552893518521</v>
      </c>
      <c r="C75" s="44" t="str">
        <f>_xlfn.CONCAT([2]Arkusz1!G79," ",[2]Arkusz1!H79)</f>
        <v>Ewa Ostrowska</v>
      </c>
      <c r="D75" s="4" t="str">
        <f t="shared" si="3"/>
        <v xml:space="preserve">14-220 Kisielice </v>
      </c>
      <c r="E75" s="4" t="str">
        <f t="shared" si="3"/>
        <v>Zagrodowa , 2A</v>
      </c>
      <c r="F75" s="218">
        <f t="shared" si="3"/>
        <v>83030416843</v>
      </c>
      <c r="G75" s="4" t="str">
        <f>[2]Arkusz1!I79</f>
        <v>+48 600 968 617</v>
      </c>
      <c r="H75" s="4" t="str">
        <f>[2]Arkusz1!J79</f>
        <v>ewa.ostrowska@opoczta.pl</v>
      </c>
      <c r="I75" s="213" t="str">
        <f>_xlfn.CONCAT([2]Arkusz1!C79," ",[2]Arkusz1!D79)</f>
        <v>Hubert Ostrowski</v>
      </c>
      <c r="J75" s="216">
        <f ca="1">IF(DATEDIF([2]Arkusz1!S79,TODAY(),"Y")&gt;21,0,DATEDIF([2]Arkusz1!S79,TODAY(),"Y"))</f>
        <v>12</v>
      </c>
      <c r="K75" s="4" t="str">
        <f>[2]Arkusz1!T79</f>
        <v>Podstawowa</v>
      </c>
      <c r="L75" s="216">
        <f>[2]Arkusz1!U79</f>
        <v>5</v>
      </c>
      <c r="M75" s="4" t="str">
        <f>[2]Arkusz1!P79</f>
        <v>Język angielski</v>
      </c>
      <c r="N75" s="4">
        <f>[2]Arkusz1!Q79</f>
        <v>0</v>
      </c>
      <c r="O75" s="4" t="str">
        <f>[2]Arkusz1!V79</f>
        <v>Tak (lub kolejny członek rodziny)</v>
      </c>
      <c r="P75" s="4">
        <f t="shared" si="2"/>
        <v>2</v>
      </c>
      <c r="Q75" s="4">
        <f>[2]Arkusz1!Y79</f>
        <v>0</v>
      </c>
      <c r="R75" s="4" t="s">
        <v>64</v>
      </c>
      <c r="S75" s="4" t="s">
        <v>64</v>
      </c>
      <c r="T75" s="4">
        <f>[2]Arkusz1!AA79</f>
        <v>15</v>
      </c>
      <c r="U75" s="4" t="str">
        <f>IF([2]Arkusz1!O79=[2]Arkusz1!$O$7,"Z",IF([2]Arkusz1!O79=[2]Arkusz1!$O$15,"Ix3",IF([2]Arkusz1!O79=[2]Arkusz1!$O$20,"Ix1","Ix2")))</f>
        <v>Ix1</v>
      </c>
      <c r="V75" s="4">
        <f>[2]Arkusz1!AM79</f>
        <v>33</v>
      </c>
      <c r="W75" s="4" t="str">
        <f>[2]Arkusz1!AB79</f>
        <v>wrzesień 2025</v>
      </c>
      <c r="X75" s="4" t="str">
        <f>_xlfn.TEXTBEFORE([2]Arkusz1!AC79," (")</f>
        <v>maj 2026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I75" s="4" t="s">
        <v>493</v>
      </c>
      <c r="AJ75" s="4" t="s">
        <v>494</v>
      </c>
      <c r="AK75" s="4" t="s">
        <v>495</v>
      </c>
      <c r="AL75" s="4">
        <v>83030416843</v>
      </c>
      <c r="AM75" s="4" t="s">
        <v>498</v>
      </c>
      <c r="AN75" s="4" t="s">
        <v>497</v>
      </c>
      <c r="AP75" s="4" t="str">
        <f>[1]Hist!$X85</f>
        <v>KAMILLA TEMPLIN</v>
      </c>
    </row>
    <row r="76" spans="1:42" x14ac:dyDescent="0.2">
      <c r="A76" s="4">
        <v>74</v>
      </c>
      <c r="B76" s="215">
        <f>[2]Arkusz1!B80</f>
        <v>45888.574525462966</v>
      </c>
      <c r="C76" s="44" t="str">
        <f>_xlfn.CONCAT([2]Arkusz1!G80," ",[2]Arkusz1!H80)</f>
        <v>Tomasz Tyc</v>
      </c>
      <c r="D76" s="4" t="str">
        <f t="shared" si="3"/>
        <v>14-200 Iława</v>
      </c>
      <c r="E76" s="4" t="s">
        <v>499</v>
      </c>
      <c r="F76" s="218">
        <v>73021608593</v>
      </c>
      <c r="G76" s="4" t="str">
        <f>[2]Arkusz1!I80</f>
        <v>+48 607 190 409</v>
      </c>
      <c r="H76" s="4" t="str">
        <f>[2]Arkusz1!J80</f>
        <v>tomikami@op.pl</v>
      </c>
      <c r="I76" s="213" t="str">
        <f>_xlfn.CONCAT([2]Arkusz1!C80," ",[2]Arkusz1!D80)</f>
        <v>Amelia Tyc</v>
      </c>
      <c r="J76" s="216">
        <f ca="1">IF(DATEDIF([2]Arkusz1!S80,TODAY(),"Y")&gt;21,0,DATEDIF([2]Arkusz1!S80,TODAY(),"Y"))</f>
        <v>0</v>
      </c>
      <c r="K76" s="4" t="str">
        <f>[2]Arkusz1!T80</f>
        <v>Średnia - liceum</v>
      </c>
      <c r="L76" s="216">
        <f>[2]Arkusz1!U80</f>
        <v>3</v>
      </c>
      <c r="M76" s="4" t="str">
        <f>[2]Arkusz1!P80</f>
        <v>Język angielski</v>
      </c>
      <c r="N76" s="4" t="str">
        <f>[2]Arkusz1!Q80</f>
        <v>Maturalny</v>
      </c>
      <c r="O76" s="4" t="str">
        <f>[2]Arkusz1!V80</f>
        <v>Tak (lub kolejny członek rodziny)</v>
      </c>
      <c r="P76" s="4">
        <f t="shared" si="2"/>
        <v>1</v>
      </c>
      <c r="Q76" s="4" t="str">
        <f>[2]Arkusz1!Y80</f>
        <v>052/2025</v>
      </c>
      <c r="R76" s="4" t="s">
        <v>64</v>
      </c>
      <c r="S76" s="4" t="s">
        <v>64</v>
      </c>
      <c r="T76" s="4">
        <f>[2]Arkusz1!AA80</f>
        <v>5</v>
      </c>
      <c r="U76" s="4" t="str">
        <f>IF([2]Arkusz1!O80=[2]Arkusz1!$O$7,"Z",IF([2]Arkusz1!O80=[2]Arkusz1!$O$15,"Ix3",IF([2]Arkusz1!O80=[2]Arkusz1!$O$20,"Ix1","Ix2")))</f>
        <v>Z</v>
      </c>
      <c r="V76" s="4">
        <f>[2]Arkusz1!AM80</f>
        <v>64</v>
      </c>
      <c r="W76" s="4" t="str">
        <f>[2]Arkusz1!AB80</f>
        <v>wrzesień 2025</v>
      </c>
      <c r="X76" s="4" t="str">
        <f>[2]Arkusz1!AC80</f>
        <v>czerwiec 2026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I76" s="4" t="s">
        <v>222</v>
      </c>
      <c r="AJ76" s="4" t="s">
        <v>248</v>
      </c>
      <c r="AK76" s="4" t="s">
        <v>500</v>
      </c>
      <c r="AL76" s="4">
        <v>7220803648</v>
      </c>
      <c r="AM76" s="4" t="s">
        <v>501</v>
      </c>
      <c r="AN76" s="4" t="s">
        <v>502</v>
      </c>
      <c r="AP76" s="4" t="str">
        <f>[1]Hist!$X86</f>
        <v>MARTA KARBOWSKA</v>
      </c>
    </row>
    <row r="77" spans="1:42" x14ac:dyDescent="0.2">
      <c r="A77" s="4">
        <v>75</v>
      </c>
      <c r="B77" s="215">
        <f>[2]Arkusz1!B81</f>
        <v>45889.610706018517</v>
      </c>
      <c r="C77" s="44" t="str">
        <f>_xlfn.CONCAT([2]Arkusz1!G81," ",[2]Arkusz1!H81)</f>
        <v>Aneta Bojanowska</v>
      </c>
      <c r="D77" s="4" t="str">
        <f t="shared" si="3"/>
        <v>14-202 Laseczno Małe</v>
      </c>
      <c r="E77" s="4" t="str">
        <f t="shared" si="3"/>
        <v>Laseczno Małe 79</v>
      </c>
      <c r="F77" s="218">
        <f t="shared" si="3"/>
        <v>81021609766</v>
      </c>
      <c r="G77" s="4" t="str">
        <f>[2]Arkusz1!I81</f>
        <v>+48 506 136 797</v>
      </c>
      <c r="H77" s="4" t="str">
        <f>[2]Arkusz1!J81</f>
        <v>anetahohorowska@wp.pl</v>
      </c>
      <c r="I77" s="213" t="str">
        <f>_xlfn.CONCAT([2]Arkusz1!C81," ",[2]Arkusz1!D81)</f>
        <v>Marcelina Bojanowska</v>
      </c>
      <c r="J77" s="216">
        <f ca="1">IF(DATEDIF([2]Arkusz1!S81,TODAY(),"Y")&gt;21,0,DATEDIF([2]Arkusz1!S81,TODAY(),"Y"))</f>
        <v>15</v>
      </c>
      <c r="K77" s="4" t="str">
        <f>[2]Arkusz1!T81</f>
        <v>Podstawowa</v>
      </c>
      <c r="L77" s="216">
        <f>[2]Arkusz1!U81</f>
        <v>8</v>
      </c>
      <c r="M77" s="4" t="str">
        <f>[2]Arkusz1!P81</f>
        <v>Język angielski</v>
      </c>
      <c r="N77" s="4" t="str">
        <f>[2]Arkusz1!Q81</f>
        <v>Ósmoklasisty</v>
      </c>
      <c r="O77" s="4" t="str">
        <f>[2]Arkusz1!V81</f>
        <v>Tak (lub kolejny członek rodziny)</v>
      </c>
      <c r="P77" s="4">
        <f t="shared" si="2"/>
        <v>1</v>
      </c>
      <c r="Q77" s="4" t="str">
        <f>[2]Arkusz1!Y81</f>
        <v>076/2025</v>
      </c>
      <c r="R77" s="4" t="s">
        <v>64</v>
      </c>
      <c r="S77" s="4" t="s">
        <v>64</v>
      </c>
      <c r="T77" s="4">
        <f>[2]Arkusz1!AA81</f>
        <v>15</v>
      </c>
      <c r="U77" s="4" t="str">
        <f>IF([2]Arkusz1!O81=[2]Arkusz1!$O$7,"Z",IF([2]Arkusz1!O81=[2]Arkusz1!$O$15,"Ix3",IF([2]Arkusz1!O81=[2]Arkusz1!$O$20,"Ix1","Ix2")))</f>
        <v>Z</v>
      </c>
      <c r="V77" s="4">
        <f>[2]Arkusz1!AM81</f>
        <v>64</v>
      </c>
      <c r="W77" s="4" t="str">
        <f>[2]Arkusz1!AB81</f>
        <v>wrzesień 2025</v>
      </c>
      <c r="X77" s="4" t="str">
        <f>_xlfn.TEXTBEFORE([2]Arkusz1!AC81," (")</f>
        <v>maj 2026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I77" s="4" t="s">
        <v>503</v>
      </c>
      <c r="AJ77" s="4" t="s">
        <v>504</v>
      </c>
      <c r="AK77" s="4" t="s">
        <v>505</v>
      </c>
      <c r="AL77" s="4">
        <v>81021609766</v>
      </c>
      <c r="AM77" s="4" t="s">
        <v>506</v>
      </c>
      <c r="AN77" s="4" t="s">
        <v>507</v>
      </c>
      <c r="AP77" s="4" t="str">
        <f>[1]Hist!$X87</f>
        <v>KAROLINA CIECIUCH</v>
      </c>
    </row>
    <row r="78" spans="1:42" x14ac:dyDescent="0.2">
      <c r="A78" s="4">
        <v>76</v>
      </c>
      <c r="B78" s="215">
        <f>[2]Arkusz1!B82</f>
        <v>45889.760706018518</v>
      </c>
      <c r="C78" s="44" t="str">
        <f>_xlfn.CONCAT([2]Arkusz1!G82," ",[2]Arkusz1!H82)</f>
        <v>Renata Kowalska</v>
      </c>
      <c r="D78" s="4" t="str">
        <f t="shared" si="3"/>
        <v xml:space="preserve">14-200  Iława </v>
      </c>
      <c r="E78" s="4" t="str">
        <f t="shared" si="3"/>
        <v>Krótka 15</v>
      </c>
      <c r="F78" s="218">
        <f t="shared" si="3"/>
        <v>78012809065</v>
      </c>
      <c r="G78" s="4" t="str">
        <f>[2]Arkusz1!I82</f>
        <v>+48 605 046 467</v>
      </c>
      <c r="H78" s="4" t="str">
        <f>[2]Arkusz1!J82</f>
        <v>kowalskarenata16@gmail.com</v>
      </c>
      <c r="I78" s="213" t="str">
        <f>_xlfn.CONCAT([2]Arkusz1!C82," ",[2]Arkusz1!D82)</f>
        <v>Renata Kowalska</v>
      </c>
      <c r="J78" s="216">
        <f ca="1">IF(DATEDIF([2]Arkusz1!S82,TODAY(),"Y")&gt;21,0,DATEDIF([2]Arkusz1!S82,TODAY(),"Y"))</f>
        <v>0</v>
      </c>
      <c r="K78" s="4">
        <f>[2]Arkusz1!T82</f>
        <v>0</v>
      </c>
      <c r="L78" s="216">
        <f>[2]Arkusz1!U82</f>
        <v>0</v>
      </c>
      <c r="M78" s="4" t="str">
        <f>[2]Arkusz1!P82</f>
        <v>Język niemiecki</v>
      </c>
      <c r="N78" s="4">
        <f>[2]Arkusz1!Q82</f>
        <v>0</v>
      </c>
      <c r="O78" s="4" t="str">
        <f>[2]Arkusz1!V82</f>
        <v>Nie</v>
      </c>
      <c r="P78" s="4">
        <f t="shared" si="2"/>
        <v>1</v>
      </c>
      <c r="Q78" s="4">
        <f>[2]Arkusz1!Y82</f>
        <v>0</v>
      </c>
      <c r="R78" s="4" t="s">
        <v>64</v>
      </c>
      <c r="S78" s="4" t="s">
        <v>64</v>
      </c>
      <c r="T78" s="4">
        <f>[2]Arkusz1!AA82</f>
        <v>15</v>
      </c>
      <c r="U78" s="4" t="str">
        <f>IF([2]Arkusz1!O82=[2]Arkusz1!$O$7,"Z",IF([2]Arkusz1!O82=[2]Arkusz1!$O$15,"Ix3",IF([2]Arkusz1!O82=[2]Arkusz1!$O$20,"Ix1","Ix2")))</f>
        <v>Z</v>
      </c>
      <c r="V78" s="4">
        <f>[2]Arkusz1!AM82</f>
        <v>64</v>
      </c>
      <c r="W78" s="4" t="str">
        <f>[2]Arkusz1!AB82</f>
        <v>wrzesień 2025</v>
      </c>
      <c r="X78" s="4" t="str">
        <f>_xlfn.TEXTBEFORE([2]Arkusz1!AC82," (")</f>
        <v>maj 2026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I78" s="4" t="s">
        <v>508</v>
      </c>
      <c r="AJ78" s="4" t="s">
        <v>360</v>
      </c>
      <c r="AK78" s="4" t="s">
        <v>509</v>
      </c>
      <c r="AL78" s="4">
        <v>78012809065</v>
      </c>
      <c r="AM78" s="4" t="s">
        <v>510</v>
      </c>
      <c r="AN78" s="4" t="s">
        <v>511</v>
      </c>
      <c r="AP78" s="4" t="str">
        <f>[1]Hist!$X88</f>
        <v>ANETA RACKA</v>
      </c>
    </row>
    <row r="79" spans="1:42" x14ac:dyDescent="0.2">
      <c r="A79" s="4">
        <v>77</v>
      </c>
      <c r="B79" s="215">
        <f>[2]Arkusz1!B83</f>
        <v>45889.7658912037</v>
      </c>
      <c r="C79" s="44" t="str">
        <f>_xlfn.CONCAT([2]Arkusz1!G83," ",[2]Arkusz1!H83)</f>
        <v>Samanta Szpakowska</v>
      </c>
      <c r="D79" s="4" t="str">
        <f t="shared" si="3"/>
        <v>13-332 Jamielnik</v>
      </c>
      <c r="E79" s="4" t="str">
        <f t="shared" si="3"/>
        <v>Ks. Jana Batke 4</v>
      </c>
      <c r="F79" s="218">
        <f t="shared" si="3"/>
        <v>5302805447</v>
      </c>
      <c r="G79" s="4" t="str">
        <f>[2]Arkusz1!I83</f>
        <v>+48 502 716 945</v>
      </c>
      <c r="H79" s="4" t="str">
        <f>[2]Arkusz1!J83</f>
        <v>samanciaq@gmail.com</v>
      </c>
      <c r="I79" s="213" t="str">
        <f>_xlfn.CONCAT([2]Arkusz1!C83," ",[2]Arkusz1!D83)</f>
        <v>Samanta Szpakowska</v>
      </c>
      <c r="J79" s="216">
        <f ca="1">IF(DATEDIF([2]Arkusz1!S83,TODAY(),"Y")&gt;21,0,DATEDIF([2]Arkusz1!S83,TODAY(),"Y"))</f>
        <v>0</v>
      </c>
      <c r="K79" s="4">
        <f>[2]Arkusz1!T83</f>
        <v>0</v>
      </c>
      <c r="L79" s="216">
        <f>[2]Arkusz1!U83</f>
        <v>0</v>
      </c>
      <c r="M79" s="4" t="str">
        <f>[2]Arkusz1!P83</f>
        <v>Język angielski</v>
      </c>
      <c r="N79" s="4">
        <f>[2]Arkusz1!Q83</f>
        <v>0</v>
      </c>
      <c r="O79" s="4" t="str">
        <f>[2]Arkusz1!V83</f>
        <v>Tak (lub kolejny członek rodziny)</v>
      </c>
      <c r="P79" s="4">
        <f t="shared" si="2"/>
        <v>1</v>
      </c>
      <c r="Q79" s="4">
        <f>[2]Arkusz1!Y83</f>
        <v>0</v>
      </c>
      <c r="R79" s="4" t="s">
        <v>64</v>
      </c>
      <c r="S79" s="4" t="s">
        <v>64</v>
      </c>
      <c r="T79" s="4">
        <f>[2]Arkusz1!AA83</f>
        <v>5</v>
      </c>
      <c r="U79" s="4" t="str">
        <f>IF([2]Arkusz1!O83=[2]Arkusz1!$O$7,"Z",IF([2]Arkusz1!O83=[2]Arkusz1!$O$15,"Ix3",IF([2]Arkusz1!O83=[2]Arkusz1!$O$20,"Ix1","Ix2")))</f>
        <v>Z</v>
      </c>
      <c r="V79" s="4">
        <f>[2]Arkusz1!AM83</f>
        <v>64</v>
      </c>
      <c r="W79" s="4" t="str">
        <f>[2]Arkusz1!AB83</f>
        <v>październik 2025</v>
      </c>
      <c r="X79" s="4">
        <f>[2]Arkusz1!AC83</f>
        <v>46143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I79" s="4" t="s">
        <v>512</v>
      </c>
      <c r="AJ79" s="4" t="s">
        <v>513</v>
      </c>
      <c r="AK79" s="4" t="s">
        <v>514</v>
      </c>
      <c r="AL79" s="4">
        <v>5302805447</v>
      </c>
      <c r="AM79" s="4" t="s">
        <v>515</v>
      </c>
      <c r="AN79" s="4" t="s">
        <v>516</v>
      </c>
      <c r="AP79" s="4" t="str">
        <f>[1]Hist!$X89</f>
        <v>Krzysztof Jakielski</v>
      </c>
    </row>
    <row r="80" spans="1:42" x14ac:dyDescent="0.2">
      <c r="A80" s="4">
        <v>78</v>
      </c>
      <c r="B80" s="215">
        <f>[2]Arkusz1!B84</f>
        <v>45890.311944444446</v>
      </c>
      <c r="C80" s="44" t="str">
        <f>_xlfn.CONCAT([2]Arkusz1!G84," ",[2]Arkusz1!H84)</f>
        <v>Alicja Wiśniewska</v>
      </c>
      <c r="D80" s="4" t="str">
        <f t="shared" si="3"/>
        <v>14-200 Iława</v>
      </c>
      <c r="E80" s="4" t="str">
        <f t="shared" si="3"/>
        <v>Ogrodowa 9</v>
      </c>
      <c r="F80" s="218">
        <f t="shared" si="3"/>
        <v>88021500974</v>
      </c>
      <c r="G80" s="4" t="str">
        <f>[2]Arkusz1!I84</f>
        <v>+48 722 081 288</v>
      </c>
      <c r="H80" s="4" t="str">
        <f>[2]Arkusz1!J84</f>
        <v>wisniewska.alicjaaa@gmail.com</v>
      </c>
      <c r="I80" s="213" t="str">
        <f>_xlfn.CONCAT([2]Arkusz1!C84," ",[2]Arkusz1!D84)</f>
        <v>Tobiasz Wiśniewski</v>
      </c>
      <c r="J80" s="216">
        <f ca="1">IF(DATEDIF([2]Arkusz1!S84,TODAY(),"Y")&gt;21,0,DATEDIF([2]Arkusz1!S84,TODAY(),"Y"))</f>
        <v>13</v>
      </c>
      <c r="K80" s="4" t="str">
        <f>[2]Arkusz1!T84</f>
        <v>Podstawowa</v>
      </c>
      <c r="L80" s="216">
        <f>[2]Arkusz1!U84</f>
        <v>7</v>
      </c>
      <c r="M80" s="4" t="str">
        <f>[2]Arkusz1!P84</f>
        <v>Matematyka</v>
      </c>
      <c r="N80" s="4" t="str">
        <f>[2]Arkusz1!Q84</f>
        <v>Ósmoklasisty</v>
      </c>
      <c r="O80" s="4" t="str">
        <f>[2]Arkusz1!V84</f>
        <v>Nie</v>
      </c>
      <c r="P80" s="4">
        <f t="shared" si="2"/>
        <v>1</v>
      </c>
      <c r="Q80" s="4">
        <f>[2]Arkusz1!Y84</f>
        <v>0</v>
      </c>
      <c r="R80" s="4" t="s">
        <v>64</v>
      </c>
      <c r="S80" s="4" t="s">
        <v>64</v>
      </c>
      <c r="T80" s="4">
        <f>[2]Arkusz1!AA84</f>
        <v>15</v>
      </c>
      <c r="U80" s="4" t="str">
        <f>IF([2]Arkusz1!O84=[2]Arkusz1!$O$7,"Z",IF([2]Arkusz1!O84=[2]Arkusz1!$O$15,"Ix3",IF([2]Arkusz1!O84=[2]Arkusz1!$O$20,"Ix1","Ix2")))</f>
        <v>Ix1</v>
      </c>
      <c r="V80" s="4">
        <f>[2]Arkusz1!AM84</f>
        <v>33</v>
      </c>
      <c r="W80" s="4" t="str">
        <f>[2]Arkusz1!AB84</f>
        <v>wrzesień 2025</v>
      </c>
      <c r="X80" s="4" t="str">
        <f>_xlfn.TEXTBEFORE([2]Arkusz1!AC84," (")</f>
        <v>maj 2026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I80" s="4" t="s">
        <v>517</v>
      </c>
      <c r="AJ80" s="4" t="s">
        <v>248</v>
      </c>
      <c r="AK80" s="4" t="s">
        <v>263</v>
      </c>
      <c r="AL80" s="4">
        <v>88021500974</v>
      </c>
      <c r="AM80" s="4" t="s">
        <v>518</v>
      </c>
      <c r="AN80" s="4" t="s">
        <v>519</v>
      </c>
      <c r="AP80" s="4">
        <f>[1]Hist!$X90</f>
        <v>0</v>
      </c>
    </row>
    <row r="81" spans="1:42" x14ac:dyDescent="0.2">
      <c r="A81" s="4">
        <v>79</v>
      </c>
      <c r="B81" s="215">
        <f>[2]Arkusz1!B85</f>
        <v>45890.433564814812</v>
      </c>
      <c r="C81" s="44" t="str">
        <f>_xlfn.CONCAT([2]Arkusz1!G85," ",[2]Arkusz1!H85)</f>
        <v>Klaudia Adamska</v>
      </c>
      <c r="D81" s="4" t="s">
        <v>520</v>
      </c>
      <c r="E81" s="4" t="s">
        <v>521</v>
      </c>
      <c r="F81" s="218">
        <v>89011901986</v>
      </c>
      <c r="G81" s="4" t="str">
        <f>[2]Arkusz1!I85</f>
        <v>+48 781 545 894</v>
      </c>
      <c r="H81" s="4" t="str">
        <f>[2]Arkusz1!J85</f>
        <v>adamska.klaudia89@gmail.com</v>
      </c>
      <c r="I81" s="213" t="str">
        <f>_xlfn.CONCAT([2]Arkusz1!C85," ",[2]Arkusz1!D85)</f>
        <v>Klaudia Adamska</v>
      </c>
      <c r="J81" s="216">
        <f ca="1">IF(DATEDIF([2]Arkusz1!S85,TODAY(),"Y")&gt;21,0,DATEDIF([2]Arkusz1!S85,TODAY(),"Y"))</f>
        <v>0</v>
      </c>
      <c r="K81" s="4">
        <f>[2]Arkusz1!T85</f>
        <v>0</v>
      </c>
      <c r="L81" s="216">
        <f>[2]Arkusz1!U85</f>
        <v>0</v>
      </c>
      <c r="M81" s="4" t="str">
        <f>[2]Arkusz1!P85</f>
        <v>Język angielski</v>
      </c>
      <c r="N81" s="4">
        <f>[2]Arkusz1!Q85</f>
        <v>0</v>
      </c>
      <c r="O81" s="4" t="str">
        <f>[2]Arkusz1!V85</f>
        <v>Nie</v>
      </c>
      <c r="P81" s="4">
        <f t="shared" si="2"/>
        <v>1</v>
      </c>
      <c r="Q81" s="4">
        <f>[2]Arkusz1!Y85</f>
        <v>0</v>
      </c>
      <c r="R81" s="4" t="s">
        <v>64</v>
      </c>
      <c r="S81" s="4" t="s">
        <v>64</v>
      </c>
      <c r="T81" s="4">
        <f>[2]Arkusz1!AA85</f>
        <v>5</v>
      </c>
      <c r="U81" s="4" t="str">
        <f>IF([2]Arkusz1!O85=[2]Arkusz1!$O$7,"Z",IF([2]Arkusz1!O85=[2]Arkusz1!$O$15,"Ix3",IF([2]Arkusz1!O85=[2]Arkusz1!$O$20,"Ix1","Ix2")))</f>
        <v>Ix1</v>
      </c>
      <c r="V81" s="4">
        <f>[2]Arkusz1!AM85</f>
        <v>64</v>
      </c>
      <c r="W81" s="4" t="str">
        <f>[2]Arkusz1!AB85</f>
        <v>wrzesień 2025</v>
      </c>
      <c r="X81" s="4" t="str">
        <f>[2]Arkusz1!AC85</f>
        <v>sierpień 2026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I81" s="4" t="s">
        <v>522</v>
      </c>
      <c r="AJ81" s="4" t="s">
        <v>325</v>
      </c>
      <c r="AK81" s="4" t="s">
        <v>523</v>
      </c>
      <c r="AL81" s="4">
        <v>91051404868</v>
      </c>
      <c r="AM81" s="4" t="s">
        <v>524</v>
      </c>
      <c r="AN81" s="4" t="s">
        <v>525</v>
      </c>
      <c r="AP81" s="4">
        <f>[1]Hist!$X91</f>
        <v>0</v>
      </c>
    </row>
    <row r="82" spans="1:42" x14ac:dyDescent="0.2">
      <c r="A82" s="4">
        <v>80</v>
      </c>
      <c r="B82" s="215">
        <f>[2]Arkusz1!B86</f>
        <v>45890.484652777777</v>
      </c>
      <c r="C82" s="44" t="s">
        <v>526</v>
      </c>
      <c r="D82" s="4" t="s">
        <v>527</v>
      </c>
      <c r="E82" s="4" t="s">
        <v>528</v>
      </c>
      <c r="F82" s="218">
        <v>78031708305</v>
      </c>
      <c r="G82" s="4" t="str">
        <f>[2]Arkusz1!I86</f>
        <v>+48 505 047 197</v>
      </c>
      <c r="H82" s="4" t="str">
        <f>[2]Arkusz1!J86</f>
        <v>superdekoratornia@wp.pl</v>
      </c>
      <c r="I82" s="213" t="str">
        <f>_xlfn.CONCAT([2]Arkusz1!C86," ",[2]Arkusz1!D86)</f>
        <v>Miłosz Puchalski</v>
      </c>
      <c r="J82" s="216">
        <f ca="1">IF(DATEDIF([2]Arkusz1!S86,TODAY(),"Y")&gt;21,0,DATEDIF([2]Arkusz1!S86,TODAY(),"Y"))</f>
        <v>0</v>
      </c>
      <c r="K82" s="4">
        <f>[2]Arkusz1!T86</f>
        <v>0</v>
      </c>
      <c r="L82" s="216">
        <f>[2]Arkusz1!U86</f>
        <v>0</v>
      </c>
      <c r="M82" s="4" t="str">
        <f>[2]Arkusz1!P86</f>
        <v>Język angielski</v>
      </c>
      <c r="N82" s="4" t="str">
        <f>[2]Arkusz1!Q86</f>
        <v>Maturalny</v>
      </c>
      <c r="O82" s="4" t="str">
        <f>[2]Arkusz1!V86</f>
        <v>Nie</v>
      </c>
      <c r="P82" s="4">
        <f t="shared" si="2"/>
        <v>2</v>
      </c>
      <c r="Q82" s="4">
        <f>[2]Arkusz1!Y86</f>
        <v>0</v>
      </c>
      <c r="R82" s="4" t="s">
        <v>64</v>
      </c>
      <c r="S82" s="4" t="s">
        <v>64</v>
      </c>
      <c r="T82" s="4">
        <f>[2]Arkusz1!AA86</f>
        <v>5</v>
      </c>
      <c r="U82" s="4" t="str">
        <f>IF([2]Arkusz1!O86=[2]Arkusz1!$O$7,"Z",IF([2]Arkusz1!O86=[2]Arkusz1!$O$15,"Ix3",IF([2]Arkusz1!O86=[2]Arkusz1!$O$20,"Ix1","Ix2")))</f>
        <v>Ix1</v>
      </c>
      <c r="V82" s="4">
        <f>[2]Arkusz1!AM86</f>
        <v>58</v>
      </c>
      <c r="W82" s="4" t="str">
        <f>[2]Arkusz1!AB86</f>
        <v>październik 2025</v>
      </c>
      <c r="X82" s="220" t="str">
        <f>[2]Arkusz1!AC86</f>
        <v>kwiecień 2026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I82" s="4" t="s">
        <v>529</v>
      </c>
      <c r="AL82" s="4">
        <v>78031708305</v>
      </c>
      <c r="AM82" s="4" t="s">
        <v>530</v>
      </c>
      <c r="AN82" s="4" t="s">
        <v>531</v>
      </c>
      <c r="AP82" s="4">
        <f>[1]Hist!$X92</f>
        <v>0</v>
      </c>
    </row>
    <row r="83" spans="1:42" x14ac:dyDescent="0.2">
      <c r="A83" s="4">
        <v>81</v>
      </c>
      <c r="B83" s="215">
        <f>[2]Arkusz1!B87</f>
        <v>45890.937650462962</v>
      </c>
      <c r="C83" s="44" t="str">
        <f>_xlfn.CONCAT([2]Arkusz1!G87," ",[2]Arkusz1!H87)</f>
        <v>EMILIA Kubacka</v>
      </c>
      <c r="D83" s="4" t="s">
        <v>248</v>
      </c>
      <c r="E83" s="4" t="s">
        <v>532</v>
      </c>
      <c r="F83" s="218">
        <v>76092007603</v>
      </c>
      <c r="G83" s="4" t="str">
        <f>[2]Arkusz1!I87</f>
        <v>+48 515 085 600</v>
      </c>
      <c r="H83" s="4" t="str">
        <f>[2]Arkusz1!J87</f>
        <v>cmb.emiliakubacka@gmail.com</v>
      </c>
      <c r="I83" s="213" t="str">
        <f>_xlfn.CONCAT([2]Arkusz1!C87," ",[2]Arkusz1!D87)</f>
        <v>Michał Kubacki</v>
      </c>
      <c r="J83" s="216">
        <f ca="1">IF(DATEDIF([2]Arkusz1!S87,TODAY(),"Y")&gt;21,0,DATEDIF([2]Arkusz1!S87,TODAY(),"Y"))</f>
        <v>12</v>
      </c>
      <c r="K83" s="4" t="str">
        <f>[2]Arkusz1!T87</f>
        <v>Podstawowa</v>
      </c>
      <c r="L83" s="216">
        <f>[2]Arkusz1!U87</f>
        <v>5</v>
      </c>
      <c r="M83" s="4" t="str">
        <f>[2]Arkusz1!P87</f>
        <v>Język angielski</v>
      </c>
      <c r="N83" s="4">
        <f>[2]Arkusz1!Q87</f>
        <v>0</v>
      </c>
      <c r="O83" s="4" t="str">
        <f>[2]Arkusz1!V87</f>
        <v>Nie</v>
      </c>
      <c r="P83" s="4">
        <f t="shared" si="2"/>
        <v>1</v>
      </c>
      <c r="Q83" s="4">
        <f>[2]Arkusz1!Y87</f>
        <v>0</v>
      </c>
      <c r="R83" s="4" t="s">
        <v>64</v>
      </c>
      <c r="S83" s="4" t="s">
        <v>64</v>
      </c>
      <c r="T83" s="4">
        <f>[2]Arkusz1!AA87</f>
        <v>15</v>
      </c>
      <c r="U83" s="4" t="str">
        <f>IF([2]Arkusz1!O87=[2]Arkusz1!$O$7,"Z",IF([2]Arkusz1!O87=[2]Arkusz1!$O$15,"Ix3",IF([2]Arkusz1!O87=[2]Arkusz1!$O$20,"Ix1","Ix2")))</f>
        <v>Ix1</v>
      </c>
      <c r="V83" s="4">
        <f>[2]Arkusz1!AM87</f>
        <v>33</v>
      </c>
      <c r="W83" s="4" t="str">
        <f>[2]Arkusz1!AB87</f>
        <v>wrzesień 2025</v>
      </c>
      <c r="X83" s="220" t="str">
        <f>_xlfn.TEXTBEFORE([2]Arkusz1!AC87," (")</f>
        <v>maj 2026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I83" s="4" t="s">
        <v>533</v>
      </c>
      <c r="AJ83" s="4" t="s">
        <v>248</v>
      </c>
      <c r="AK83" s="4" t="s">
        <v>532</v>
      </c>
      <c r="AL83" s="4">
        <v>76092007603</v>
      </c>
      <c r="AM83" s="4" t="s">
        <v>534</v>
      </c>
      <c r="AN83" s="4" t="s">
        <v>535</v>
      </c>
      <c r="AP83" s="4">
        <f>[1]Hist!$X93</f>
        <v>0</v>
      </c>
    </row>
    <row r="84" spans="1:42" x14ac:dyDescent="0.2">
      <c r="A84" s="4">
        <v>82</v>
      </c>
      <c r="B84" s="215">
        <f>[2]Arkusz1!B88</f>
        <v>45893.778425925928</v>
      </c>
      <c r="C84" s="44" t="str">
        <f>_xlfn.CONCAT([2]Arkusz1!G88," ",[2]Arkusz1!H88)</f>
        <v>Monika Łukomska</v>
      </c>
      <c r="D84" s="4" t="s">
        <v>504</v>
      </c>
      <c r="E84" s="4" t="s">
        <v>536</v>
      </c>
      <c r="F84" s="218">
        <v>87042313383</v>
      </c>
      <c r="G84" s="4" t="str">
        <f>[2]Arkusz1!I88</f>
        <v>+48 667 230 743</v>
      </c>
      <c r="H84" s="4" t="str">
        <f>[2]Arkusz1!J88</f>
        <v>monikalukasz1985@wp.pl</v>
      </c>
      <c r="I84" s="213" t="str">
        <f>_xlfn.CONCAT([2]Arkusz1!C88," ",[2]Arkusz1!D88)</f>
        <v>Zuzanna Łukomska</v>
      </c>
      <c r="J84" s="216">
        <f ca="1">IF(DATEDIF([2]Arkusz1!S88,TODAY(),"Y")&gt;21,0,DATEDIF([2]Arkusz1!S88,TODAY(),"Y"))</f>
        <v>18</v>
      </c>
      <c r="K84" s="4" t="str">
        <f>[2]Arkusz1!T88</f>
        <v>Średnia - liceum</v>
      </c>
      <c r="L84" s="216">
        <f>[2]Arkusz1!U88</f>
        <v>4</v>
      </c>
      <c r="M84" s="4" t="str">
        <f>[2]Arkusz1!P88</f>
        <v>Język angielski</v>
      </c>
      <c r="N84" s="4" t="str">
        <f>[2]Arkusz1!Q88</f>
        <v>Maturalny</v>
      </c>
      <c r="O84" s="4" t="str">
        <f>[2]Arkusz1!V88</f>
        <v>Tak (lub kolejny członek rodziny)</v>
      </c>
      <c r="P84" s="4">
        <f t="shared" si="2"/>
        <v>1</v>
      </c>
      <c r="Q84" s="4" t="str">
        <f>[2]Arkusz1!Y88</f>
        <v>051/2025</v>
      </c>
      <c r="R84" s="4" t="s">
        <v>64</v>
      </c>
      <c r="S84" s="4" t="s">
        <v>64</v>
      </c>
      <c r="T84" s="4">
        <f>[2]Arkusz1!AA88</f>
        <v>25</v>
      </c>
      <c r="U84" s="4" t="str">
        <f>IF([2]Arkusz1!O88=[2]Arkusz1!$O$7,"Z",IF([2]Arkusz1!O88=[2]Arkusz1!$O$15,"Ix3",IF([2]Arkusz1!O88=[2]Arkusz1!$O$20,"Ix1","Ix2")))</f>
        <v>Z</v>
      </c>
      <c r="V84" s="4">
        <f>[2]Arkusz1!AM88</f>
        <v>58</v>
      </c>
      <c r="W84" s="4" t="str">
        <f>[2]Arkusz1!AB88</f>
        <v>wrzesień 2025</v>
      </c>
      <c r="X84" s="220" t="str">
        <f>_xlfn.TEXTBEFORE([2]Arkusz1!AC88," (")</f>
        <v>maj 2026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I84" s="4" t="s">
        <v>537</v>
      </c>
      <c r="AJ84" s="4" t="s">
        <v>504</v>
      </c>
      <c r="AK84" s="4" t="s">
        <v>538</v>
      </c>
      <c r="AL84" s="4">
        <v>87042313383</v>
      </c>
      <c r="AM84" s="4" t="s">
        <v>539</v>
      </c>
      <c r="AN84" s="4" t="s">
        <v>540</v>
      </c>
      <c r="AP84" s="4">
        <f>[1]Hist!$X94</f>
        <v>0</v>
      </c>
    </row>
    <row r="85" spans="1:42" x14ac:dyDescent="0.2">
      <c r="A85" s="4">
        <v>83</v>
      </c>
      <c r="B85" s="215">
        <f>[2]Arkusz1!B89</f>
        <v>45894.867534722223</v>
      </c>
      <c r="C85" s="44" t="str">
        <f>_xlfn.CONCAT([2]Arkusz1!G89," ",[2]Arkusz1!H89)</f>
        <v>Anna Błażejewska</v>
      </c>
      <c r="F85" s="218"/>
      <c r="G85" s="4" t="str">
        <f>[2]Arkusz1!I89</f>
        <v>+48 660 512 716</v>
      </c>
      <c r="H85" s="4" t="str">
        <f>[2]Arkusz1!J89</f>
        <v>anitka1407@wp.pl</v>
      </c>
      <c r="I85" s="213" t="str">
        <f>_xlfn.CONCAT([2]Arkusz1!C89," ",[2]Arkusz1!D89)</f>
        <v>Agata Błażejewska</v>
      </c>
      <c r="J85" s="221">
        <f ca="1">IF(DATEDIF([2]Arkusz1!S89,TODAY(),"Y")&gt;21,0,DATEDIF([2]Arkusz1!S89,TODAY(),"Y"))</f>
        <v>12</v>
      </c>
      <c r="K85" s="4" t="str">
        <f>[2]Arkusz1!T89</f>
        <v>Podstawowa</v>
      </c>
      <c r="L85" s="216">
        <f>[2]Arkusz1!U89</f>
        <v>5</v>
      </c>
      <c r="M85" s="4" t="str">
        <f>[2]Arkusz1!P89</f>
        <v>Język angielski</v>
      </c>
      <c r="N85" s="4">
        <f>[2]Arkusz1!Q89</f>
        <v>0</v>
      </c>
      <c r="O85" s="4" t="str">
        <f>[2]Arkusz1!V89</f>
        <v>Nie</v>
      </c>
      <c r="P85" s="4">
        <f t="shared" si="2"/>
        <v>1</v>
      </c>
      <c r="Q85" s="4">
        <f>[2]Arkusz1!Y89</f>
        <v>0</v>
      </c>
      <c r="R85" s="4" t="s">
        <v>64</v>
      </c>
      <c r="S85" s="4" t="s">
        <v>64</v>
      </c>
      <c r="T85" s="4">
        <f>[2]Arkusz1!AA89</f>
        <v>5</v>
      </c>
      <c r="U85" s="4" t="str">
        <f>IF([2]Arkusz1!O89=[2]Arkusz1!$O$7,"Z",IF([2]Arkusz1!O89=[2]Arkusz1!$O$15,"Ix3",IF([2]Arkusz1!O89=[2]Arkusz1!$O$20,"Ix1","Ix2")))</f>
        <v>Z</v>
      </c>
      <c r="V85" s="4">
        <f>[2]Arkusz1!AM89</f>
        <v>64</v>
      </c>
      <c r="W85" s="4" t="str">
        <f>[2]Arkusz1!AB89</f>
        <v>wrzesień 2025</v>
      </c>
      <c r="X85" s="220" t="str">
        <f>_xlfn.TEXTBEFORE([2]Arkusz1!AC89," (")</f>
        <v>maj 2026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I85" s="4" t="s">
        <v>541</v>
      </c>
      <c r="AJ85" s="4" t="s">
        <v>248</v>
      </c>
      <c r="AK85" s="4" t="s">
        <v>542</v>
      </c>
      <c r="AL85" s="4" t="s">
        <v>543</v>
      </c>
      <c r="AM85" s="4" t="s">
        <v>544</v>
      </c>
      <c r="AN85" s="4" t="s">
        <v>545</v>
      </c>
      <c r="AP85" s="4">
        <f>[1]Hist!$X95</f>
        <v>0</v>
      </c>
    </row>
    <row r="86" spans="1:42" x14ac:dyDescent="0.2">
      <c r="A86" s="4">
        <v>84</v>
      </c>
      <c r="B86" s="215">
        <f>[2]Arkusz1!B90</f>
        <v>45896.68409722222</v>
      </c>
      <c r="C86" s="44" t="str">
        <f>_xlfn.CONCAT([2]Arkusz1!G90," ",[2]Arkusz1!H90)</f>
        <v>Witold Rose</v>
      </c>
      <c r="F86" s="218"/>
      <c r="G86" s="4">
        <f>[2]Arkusz1!I90</f>
        <v>48602611819</v>
      </c>
      <c r="H86" s="4" t="str">
        <f>[2]Arkusz1!J90</f>
        <v>witek.rose@gmail.com</v>
      </c>
      <c r="I86" s="213" t="str">
        <f>_xlfn.CONCAT([2]Arkusz1!C90," ",[2]Arkusz1!D90)</f>
        <v>Witold Rose</v>
      </c>
      <c r="J86" s="216">
        <f ca="1">IF(DATEDIF([2]Arkusz1!S90,TODAY(),"Y")&gt;21,0,DATEDIF([2]Arkusz1!S90,TODAY(),"Y"))</f>
        <v>0</v>
      </c>
      <c r="K86" s="4">
        <f>[2]Arkusz1!T90</f>
        <v>0</v>
      </c>
      <c r="L86" s="216">
        <f>[2]Arkusz1!U90</f>
        <v>0</v>
      </c>
      <c r="M86" s="4" t="str">
        <f>[2]Arkusz1!P90</f>
        <v>Język angielski</v>
      </c>
      <c r="N86" s="4">
        <f>[2]Arkusz1!Q90</f>
        <v>0</v>
      </c>
      <c r="O86" s="4" t="str">
        <f>[2]Arkusz1!V90</f>
        <v>Nie</v>
      </c>
      <c r="P86" s="4">
        <f t="shared" si="2"/>
        <v>1</v>
      </c>
      <c r="Q86" s="4">
        <f>[2]Arkusz1!Y90</f>
        <v>0</v>
      </c>
      <c r="R86" s="4" t="s">
        <v>64</v>
      </c>
      <c r="S86" s="4" t="s">
        <v>64</v>
      </c>
      <c r="T86" s="4">
        <f>[2]Arkusz1!AA90</f>
        <v>5</v>
      </c>
      <c r="U86" s="4" t="str">
        <f>IF([2]Arkusz1!O90=[2]Arkusz1!$O$7,"Z",IF([2]Arkusz1!O90=[2]Arkusz1!$O$15,"Ix3",IF([2]Arkusz1!O90=[2]Arkusz1!$O$20,"Ix1","Ix2")))</f>
        <v>Ix3</v>
      </c>
      <c r="V86" s="4">
        <f>[2]Arkusz1!AM90</f>
        <v>33</v>
      </c>
      <c r="W86" s="4">
        <f>[2]Arkusz1!AB90</f>
        <v>45901</v>
      </c>
      <c r="X86" s="220" t="str">
        <f>_xlfn.TEXTBEFORE([2]Arkusz1!AC90," (")</f>
        <v>maj 2026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I86" s="4" t="s">
        <v>546</v>
      </c>
      <c r="AJ86" s="4" t="s">
        <v>307</v>
      </c>
      <c r="AK86" s="4" t="s">
        <v>547</v>
      </c>
      <c r="AL86" s="4">
        <v>14210215037</v>
      </c>
      <c r="AM86" s="4">
        <v>48602611819</v>
      </c>
      <c r="AN86" s="4">
        <v>0</v>
      </c>
      <c r="AP86" s="4">
        <f>[1]Hist!$X96</f>
        <v>0</v>
      </c>
    </row>
    <row r="87" spans="1:42" x14ac:dyDescent="0.2">
      <c r="A87" s="4">
        <v>85</v>
      </c>
      <c r="B87" s="215">
        <f>[2]Arkusz1!B91</f>
        <v>45897.532453703701</v>
      </c>
      <c r="C87" s="44" t="str">
        <f>_xlfn.CONCAT([2]Arkusz1!G91," ",[2]Arkusz1!H91)</f>
        <v>Marzena Surmacz</v>
      </c>
      <c r="D87" s="4" t="str">
        <f>AJ87</f>
        <v>14-200 Wikielec</v>
      </c>
      <c r="E87" s="4" t="s">
        <v>548</v>
      </c>
      <c r="F87" s="218">
        <v>85073009208</v>
      </c>
      <c r="G87" s="4">
        <f>[2]Arkusz1!I91</f>
        <v>48666721752</v>
      </c>
      <c r="H87" s="4" t="str">
        <f>[2]Arkusz1!J91</f>
        <v>surmaczm85.ms@gmail.com</v>
      </c>
      <c r="I87" s="213" t="str">
        <f>_xlfn.CONCAT([2]Arkusz1!C91," ",[2]Arkusz1!D91)</f>
        <v>Filip Surmacz</v>
      </c>
      <c r="J87" s="216">
        <f ca="1">IF(DATEDIF([2]Arkusz1!S91,TODAY(),"Y")&gt;21,0,DATEDIF([2]Arkusz1!S91,TODAY(),"Y"))</f>
        <v>17</v>
      </c>
      <c r="K87" s="4" t="str">
        <f>[2]Arkusz1!T91</f>
        <v>Średnia - liceum</v>
      </c>
      <c r="L87" s="216">
        <f>[2]Arkusz1!U91</f>
        <v>3</v>
      </c>
      <c r="M87" s="4" t="str">
        <f>[2]Arkusz1!P91</f>
        <v>Język angielski</v>
      </c>
      <c r="N87" s="4" t="str">
        <f>[2]Arkusz1!Q91</f>
        <v>Maturalny</v>
      </c>
      <c r="O87" s="4" t="str">
        <f>[2]Arkusz1!V91</f>
        <v>Tak (lub kolejny członek rodziny)</v>
      </c>
      <c r="P87" s="4">
        <f t="shared" si="2"/>
        <v>2</v>
      </c>
      <c r="Q87" s="4">
        <f>[2]Arkusz1!Y91</f>
        <v>0</v>
      </c>
      <c r="R87" s="4" t="s">
        <v>64</v>
      </c>
      <c r="S87" s="4" t="s">
        <v>64</v>
      </c>
      <c r="T87" s="4">
        <f>[2]Arkusz1!AA91</f>
        <v>5</v>
      </c>
      <c r="U87" s="4" t="str">
        <f>IF([2]Arkusz1!O91=[2]Arkusz1!$O$7,"Z",IF([2]Arkusz1!O91=[2]Arkusz1!$O$15,"Ix3",IF([2]Arkusz1!O91=[2]Arkusz1!$O$20,"Ix1","Ix2")))</f>
        <v>Z</v>
      </c>
      <c r="V87" s="4">
        <f>[2]Arkusz1!AM91</f>
        <v>64</v>
      </c>
      <c r="W87" s="4">
        <f>[2]Arkusz1!AB91</f>
        <v>45901</v>
      </c>
      <c r="X87" s="220" t="str">
        <f>_xlfn.TEXTBEFORE([2]Arkusz1!AC91," (")</f>
        <v>maj 2026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I87" s="4" t="s">
        <v>549</v>
      </c>
      <c r="AJ87" s="4" t="s">
        <v>301</v>
      </c>
      <c r="AK87" s="4" t="s">
        <v>548</v>
      </c>
      <c r="AL87" s="4">
        <v>85073009208</v>
      </c>
      <c r="AM87" s="4">
        <v>48666721752</v>
      </c>
      <c r="AN87" s="4" t="s">
        <v>550</v>
      </c>
      <c r="AP87" s="4">
        <f>[1]Hist!$X97</f>
        <v>0</v>
      </c>
    </row>
    <row r="88" spans="1:42" x14ac:dyDescent="0.2">
      <c r="A88" s="4">
        <v>86</v>
      </c>
      <c r="B88" s="215">
        <f>[2]Arkusz1!B92</f>
        <v>45897.534641203703</v>
      </c>
      <c r="C88" s="44" t="str">
        <f>_xlfn.CONCAT([2]Arkusz1!G92," ",[2]Arkusz1!H92)</f>
        <v>Marzena Surmacz</v>
      </c>
      <c r="D88" s="4" t="str">
        <f>AJ88</f>
        <v>14-200 Wikielec</v>
      </c>
      <c r="E88" s="4" t="s">
        <v>548</v>
      </c>
      <c r="F88" s="218">
        <v>85073009208</v>
      </c>
      <c r="G88" s="4">
        <f>[2]Arkusz1!I92</f>
        <v>48666721752</v>
      </c>
      <c r="H88" s="4" t="str">
        <f>[2]Arkusz1!J92</f>
        <v>surmaczm85.ms@gmail.com</v>
      </c>
      <c r="I88" s="213" t="str">
        <f>_xlfn.CONCAT([2]Arkusz1!C92," ",[2]Arkusz1!D92)</f>
        <v>Oliwia Surmacz</v>
      </c>
      <c r="J88" s="216">
        <f ca="1">IF(DATEDIF([2]Arkusz1!S92,TODAY(),"Y")&gt;21,0,DATEDIF([2]Arkusz1!S92,TODAY(),"Y"))</f>
        <v>16</v>
      </c>
      <c r="K88" s="4" t="str">
        <f>[2]Arkusz1!T92</f>
        <v>Średnia - liceum</v>
      </c>
      <c r="L88" s="216">
        <f>[2]Arkusz1!U92</f>
        <v>2</v>
      </c>
      <c r="M88" s="4" t="str">
        <f>[2]Arkusz1!P92</f>
        <v>Język angielski</v>
      </c>
      <c r="N88" s="4">
        <f>[2]Arkusz1!Q92</f>
        <v>0</v>
      </c>
      <c r="O88" s="4" t="str">
        <f>[2]Arkusz1!V92</f>
        <v>Tak (lub kolejny członek rodziny)</v>
      </c>
      <c r="P88" s="4">
        <f t="shared" si="2"/>
        <v>2</v>
      </c>
      <c r="Q88" s="4">
        <f>[2]Arkusz1!Y92</f>
        <v>0</v>
      </c>
      <c r="R88" s="4" t="s">
        <v>64</v>
      </c>
      <c r="S88" s="4" t="s">
        <v>64</v>
      </c>
      <c r="T88" s="4">
        <f>[2]Arkusz1!AA92</f>
        <v>5</v>
      </c>
      <c r="U88" s="4" t="str">
        <f>IF([2]Arkusz1!O92=[2]Arkusz1!$O$7,"Z",IF([2]Arkusz1!O92=[2]Arkusz1!$O$15,"Ix3",IF([2]Arkusz1!O92=[2]Arkusz1!$O$20,"Ix1","Ix2")))</f>
        <v>Z</v>
      </c>
      <c r="V88" s="4">
        <f>[2]Arkusz1!AM92</f>
        <v>64</v>
      </c>
      <c r="W88" s="4">
        <f>[2]Arkusz1!AB92</f>
        <v>45901</v>
      </c>
      <c r="X88" s="220" t="str">
        <f>_xlfn.TEXTBEFORE([2]Arkusz1!AC92," (")</f>
        <v>maj 2026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I88" s="4" t="s">
        <v>549</v>
      </c>
      <c r="AJ88" s="4" t="s">
        <v>301</v>
      </c>
      <c r="AK88" s="4" t="s">
        <v>548</v>
      </c>
      <c r="AL88" s="4">
        <v>85073009208</v>
      </c>
      <c r="AM88" s="4">
        <v>48666721752</v>
      </c>
      <c r="AN88" s="4" t="s">
        <v>550</v>
      </c>
      <c r="AP88" s="4">
        <f>[1]Hist!$X98</f>
        <v>0</v>
      </c>
    </row>
    <row r="89" spans="1:42" x14ac:dyDescent="0.2">
      <c r="A89" s="4">
        <v>87</v>
      </c>
      <c r="B89" s="215">
        <f>[2]Arkusz1!B93</f>
        <v>45897.557928240742</v>
      </c>
      <c r="C89" s="44" t="str">
        <f>_xlfn.CONCAT([2]Arkusz1!G93," ",[2]Arkusz1!H93)</f>
        <v>Natalia Zawieracz</v>
      </c>
      <c r="D89" s="4" t="s">
        <v>551</v>
      </c>
      <c r="E89" s="4" t="s">
        <v>552</v>
      </c>
      <c r="F89" s="218">
        <v>94100403140</v>
      </c>
      <c r="G89" s="4">
        <f>[2]Arkusz1!I93</f>
        <v>48696433626</v>
      </c>
      <c r="H89" s="4" t="str">
        <f>[2]Arkusz1!J93</f>
        <v>zawieraczn@op.pl</v>
      </c>
      <c r="I89" s="213" t="str">
        <f>_xlfn.CONCAT([2]Arkusz1!C93," ",[2]Arkusz1!D93)</f>
        <v>Kacper Napierski</v>
      </c>
      <c r="J89" s="216">
        <f ca="1">IF(DATEDIF([2]Arkusz1!S93,TODAY(),"Y")&gt;21,0,DATEDIF([2]Arkusz1!S93,TODAY(),"Y"))</f>
        <v>14</v>
      </c>
      <c r="K89" s="4" t="str">
        <f>[2]Arkusz1!T93</f>
        <v>Podstawowa</v>
      </c>
      <c r="L89" s="216">
        <f>[2]Arkusz1!U93</f>
        <v>8</v>
      </c>
      <c r="M89" s="4" t="str">
        <f>[2]Arkusz1!P93</f>
        <v>Język angielski</v>
      </c>
      <c r="N89" s="4" t="str">
        <f>[2]Arkusz1!Q93</f>
        <v>Ósmoklasisty</v>
      </c>
      <c r="O89" s="4" t="str">
        <f>[2]Arkusz1!V93</f>
        <v>Tak (lub kolejny członek rodziny)</v>
      </c>
      <c r="P89" s="4">
        <f t="shared" si="2"/>
        <v>1</v>
      </c>
      <c r="Q89" s="4">
        <f>[2]Arkusz1!Y93</f>
        <v>0</v>
      </c>
      <c r="R89" s="4" t="s">
        <v>64</v>
      </c>
      <c r="S89" s="4" t="s">
        <v>64</v>
      </c>
      <c r="T89" s="4">
        <f>[2]Arkusz1!AA93</f>
        <v>5</v>
      </c>
      <c r="U89" s="4" t="str">
        <f>IF([2]Arkusz1!O93=[2]Arkusz1!$O$7,"Z",IF([2]Arkusz1!O93=[2]Arkusz1!$O$15,"Ix3",IF([2]Arkusz1!O93=[2]Arkusz1!$O$20,"Ix1","Ix2")))</f>
        <v>Z</v>
      </c>
      <c r="V89" s="4">
        <f>[2]Arkusz1!AM93</f>
        <v>64</v>
      </c>
      <c r="W89" s="4">
        <f>[2]Arkusz1!AB93</f>
        <v>45901</v>
      </c>
      <c r="X89" s="220">
        <f>[2]Arkusz1!AC93</f>
        <v>46174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I89" s="4" t="s">
        <v>553</v>
      </c>
      <c r="AJ89" s="4" t="s">
        <v>253</v>
      </c>
      <c r="AK89" s="4" t="s">
        <v>554</v>
      </c>
      <c r="AL89" s="4">
        <v>2283009189</v>
      </c>
      <c r="AM89" s="4">
        <v>48696433626</v>
      </c>
      <c r="AN89" s="4" t="s">
        <v>555</v>
      </c>
      <c r="AP89" s="4">
        <f>[1]Hist!$X99</f>
        <v>0</v>
      </c>
    </row>
    <row r="90" spans="1:42" x14ac:dyDescent="0.2">
      <c r="A90" s="4">
        <v>88</v>
      </c>
      <c r="B90" s="215">
        <f>[2]Arkusz1!B94</f>
        <v>45897.632337962961</v>
      </c>
      <c r="C90" s="44" t="str">
        <f>_xlfn.CONCAT([2]Arkusz1!G94," ",[2]Arkusz1!H94)</f>
        <v>Ilona Paturalska</v>
      </c>
      <c r="D90" s="4" t="str">
        <f>AJ90</f>
        <v>14-200 Iława</v>
      </c>
      <c r="E90" s="4" t="s">
        <v>556</v>
      </c>
      <c r="F90" s="218">
        <v>83102911940</v>
      </c>
      <c r="G90" s="4">
        <f>[2]Arkusz1!I94</f>
        <v>48508978188</v>
      </c>
      <c r="H90" s="4" t="str">
        <f>[2]Arkusz1!J94</f>
        <v>ilonau1@wp.pl</v>
      </c>
      <c r="I90" s="213" t="str">
        <f>_xlfn.CONCAT([2]Arkusz1!C94," ",[2]Arkusz1!D94)</f>
        <v>Patrycja Paturalska</v>
      </c>
      <c r="J90" s="216">
        <f ca="1">IF(DATEDIF([2]Arkusz1!S94,TODAY(),"Y")&gt;21,0,DATEDIF([2]Arkusz1!S94,TODAY(),"Y"))</f>
        <v>11</v>
      </c>
      <c r="K90" s="4" t="str">
        <f>[2]Arkusz1!T94</f>
        <v>Podstawowa</v>
      </c>
      <c r="L90" s="216">
        <f>[2]Arkusz1!U94</f>
        <v>5</v>
      </c>
      <c r="M90" s="4" t="str">
        <f>[2]Arkusz1!P94</f>
        <v>Język angielski</v>
      </c>
      <c r="N90" s="4">
        <f>[2]Arkusz1!Q94</f>
        <v>0</v>
      </c>
      <c r="O90" s="4" t="str">
        <f>[2]Arkusz1!V94</f>
        <v>Nie</v>
      </c>
      <c r="P90" s="4">
        <f t="shared" si="2"/>
        <v>1</v>
      </c>
      <c r="Q90" s="4">
        <f>[2]Arkusz1!Y94</f>
        <v>0</v>
      </c>
      <c r="R90" s="4" t="s">
        <v>64</v>
      </c>
      <c r="S90" s="4" t="s">
        <v>64</v>
      </c>
      <c r="T90" s="4">
        <f>[2]Arkusz1!AA94</f>
        <v>15</v>
      </c>
      <c r="U90" s="4" t="str">
        <f>IF([2]Arkusz1!O94=[2]Arkusz1!$O$7,"Z",IF([2]Arkusz1!O94=[2]Arkusz1!$O$15,"Ix3",IF([2]Arkusz1!O94=[2]Arkusz1!$O$20,"Ix1","Ix2")))</f>
        <v>Z</v>
      </c>
      <c r="V90" s="4">
        <f>[2]Arkusz1!AM94</f>
        <v>64</v>
      </c>
      <c r="W90" s="4">
        <f>[2]Arkusz1!AB94</f>
        <v>45901</v>
      </c>
      <c r="X90" s="220" t="str">
        <f>_xlfn.TEXTBEFORE([2]Arkusz1!AC94," (")</f>
        <v>maj 2026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I90" s="4" t="s">
        <v>557</v>
      </c>
      <c r="AJ90" s="4" t="s">
        <v>248</v>
      </c>
      <c r="AK90" s="4" t="s">
        <v>558</v>
      </c>
      <c r="AL90" s="4">
        <v>83102911940</v>
      </c>
      <c r="AM90" s="4">
        <v>48508978188</v>
      </c>
      <c r="AN90" s="4" t="s">
        <v>559</v>
      </c>
      <c r="AP90" s="4">
        <f>[1]Hist!$X100</f>
        <v>0</v>
      </c>
    </row>
    <row r="91" spans="1:42" x14ac:dyDescent="0.2">
      <c r="A91" s="4">
        <v>89</v>
      </c>
      <c r="B91" s="215">
        <f>[2]Arkusz1!B95</f>
        <v>45897.727534722224</v>
      </c>
      <c r="C91" s="44" t="str">
        <f>_xlfn.CONCAT([2]Arkusz1!G95," ",[2]Arkusz1!H95)</f>
        <v>Justyna Jurkiewicz</v>
      </c>
      <c r="D91" s="4" t="s">
        <v>560</v>
      </c>
      <c r="E91" s="4" t="s">
        <v>561</v>
      </c>
      <c r="F91" s="218">
        <v>82081609516</v>
      </c>
      <c r="G91" s="4">
        <f>[2]Arkusz1!I95</f>
        <v>48785821009</v>
      </c>
      <c r="H91" s="4" t="str">
        <f>[2]Arkusz1!J95</f>
        <v>justyna.fikier@poczta.onet.pl</v>
      </c>
      <c r="I91" s="213" t="str">
        <f>_xlfn.CONCAT([2]Arkusz1!C95," ",[2]Arkusz1!D95)</f>
        <v>Jędrzej Jurkiewicz</v>
      </c>
      <c r="J91" s="216">
        <f ca="1">IF(DATEDIF([2]Arkusz1!S95,TODAY(),"Y")&gt;21,0,DATEDIF([2]Arkusz1!S95,TODAY(),"Y"))</f>
        <v>15</v>
      </c>
      <c r="K91" s="4" t="str">
        <f>[2]Arkusz1!T95</f>
        <v>Średnia - liceum</v>
      </c>
      <c r="L91" s="216">
        <f>[2]Arkusz1!U95</f>
        <v>2</v>
      </c>
      <c r="M91" s="4" t="str">
        <f>[2]Arkusz1!P95</f>
        <v>Język angielski</v>
      </c>
      <c r="N91" s="4">
        <f>[2]Arkusz1!Q95</f>
        <v>0</v>
      </c>
      <c r="O91" s="4" t="str">
        <f>[2]Arkusz1!V95</f>
        <v>Tak (lub kolejny członek rodziny)</v>
      </c>
      <c r="P91" s="4">
        <f t="shared" si="2"/>
        <v>1</v>
      </c>
      <c r="Q91" s="4" t="str">
        <f>[2]Arkusz1!Y95</f>
        <v>070/2025</v>
      </c>
      <c r="R91" s="4" t="s">
        <v>64</v>
      </c>
      <c r="S91" s="4" t="s">
        <v>64</v>
      </c>
      <c r="T91" s="4">
        <f>[2]Arkusz1!AA95</f>
        <v>15</v>
      </c>
      <c r="U91" s="4" t="str">
        <f>IF([2]Arkusz1!O95=[2]Arkusz1!$O$7,"Z",IF([2]Arkusz1!O95=[2]Arkusz1!$O$15,"Ix3",IF([2]Arkusz1!O95=[2]Arkusz1!$O$20,"Ix1","Ix2")))</f>
        <v>Z</v>
      </c>
      <c r="V91" s="4">
        <f>[2]Arkusz1!AM95</f>
        <v>64</v>
      </c>
      <c r="W91" s="4">
        <f>[2]Arkusz1!AB95</f>
        <v>45901</v>
      </c>
      <c r="X91" s="220">
        <f>[2]Arkusz1!AC95</f>
        <v>45901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I91" s="4" t="s">
        <v>562</v>
      </c>
      <c r="AJ91" s="4" t="s">
        <v>485</v>
      </c>
      <c r="AK91" s="4" t="s">
        <v>563</v>
      </c>
      <c r="AL91" s="4">
        <v>86041612868</v>
      </c>
      <c r="AM91" s="4">
        <v>48887102806</v>
      </c>
      <c r="AN91" s="4" t="s">
        <v>564</v>
      </c>
      <c r="AP91" s="4">
        <f>[1]Hist!$X101</f>
        <v>0</v>
      </c>
    </row>
    <row r="92" spans="1:42" x14ac:dyDescent="0.2">
      <c r="A92" s="4">
        <v>90</v>
      </c>
      <c r="B92" s="215">
        <f>[2]Arkusz1!B96</f>
        <v>45897.801122685189</v>
      </c>
      <c r="C92" s="44" t="str">
        <f>_xlfn.CONCAT([2]Arkusz1!G96," ",[2]Arkusz1!H96)</f>
        <v>Małgorzata Wróbel</v>
      </c>
      <c r="D92" s="4" t="s">
        <v>565</v>
      </c>
      <c r="E92" s="4" t="s">
        <v>566</v>
      </c>
      <c r="F92" s="218">
        <v>80042107688</v>
      </c>
      <c r="G92" s="4">
        <f>[2]Arkusz1!I96</f>
        <v>48607120051</v>
      </c>
      <c r="H92" s="4" t="str">
        <f>[2]Arkusz1!J96</f>
        <v>mgw80@op.pl</v>
      </c>
      <c r="I92" s="213" t="str">
        <f>_xlfn.CONCAT([2]Arkusz1!C96," ",[2]Arkusz1!D96)</f>
        <v>Alan Wróbel</v>
      </c>
      <c r="J92" s="216">
        <f ca="1">IF(DATEDIF([2]Arkusz1!S96,TODAY(),"Y")&gt;21,0,DATEDIF([2]Arkusz1!S96,TODAY(),"Y"))</f>
        <v>12</v>
      </c>
      <c r="K92" s="4" t="str">
        <f>[2]Arkusz1!T96</f>
        <v>Podstawowa</v>
      </c>
      <c r="L92" s="216">
        <f>[2]Arkusz1!U96</f>
        <v>6</v>
      </c>
      <c r="M92" s="4" t="str">
        <f>[2]Arkusz1!P96</f>
        <v>Język angielski</v>
      </c>
      <c r="N92" s="4">
        <f>[2]Arkusz1!Q96</f>
        <v>0</v>
      </c>
      <c r="O92" s="4" t="str">
        <f>[2]Arkusz1!V96</f>
        <v>Tak (lub kolejny członek rodziny)</v>
      </c>
      <c r="P92" s="4">
        <f t="shared" si="2"/>
        <v>1</v>
      </c>
      <c r="Q92" s="4">
        <f>[2]Arkusz1!Y96</f>
        <v>0</v>
      </c>
      <c r="R92" s="4" t="s">
        <v>64</v>
      </c>
      <c r="S92" s="4" t="s">
        <v>64</v>
      </c>
      <c r="T92" s="4">
        <f>[2]Arkusz1!AA96</f>
        <v>15</v>
      </c>
      <c r="U92" s="4" t="str">
        <f>IF([2]Arkusz1!O96=[2]Arkusz1!$O$7,"Z",IF([2]Arkusz1!O96=[2]Arkusz1!$O$15,"Ix3",IF([2]Arkusz1!O96=[2]Arkusz1!$O$20,"Ix1","Ix2")))</f>
        <v>Ix3</v>
      </c>
      <c r="V92" s="4">
        <f>[2]Arkusz1!AM96</f>
        <v>64</v>
      </c>
      <c r="W92" s="4">
        <f>[2]Arkusz1!AB96</f>
        <v>45901</v>
      </c>
      <c r="X92" s="220">
        <f>[2]Arkusz1!AC96</f>
        <v>46235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I92" s="4" t="s">
        <v>567</v>
      </c>
      <c r="AJ92" s="4" t="s">
        <v>293</v>
      </c>
      <c r="AK92" s="4" t="s">
        <v>568</v>
      </c>
      <c r="AL92" s="4">
        <v>80042107688</v>
      </c>
      <c r="AM92" s="4">
        <v>48607120051</v>
      </c>
      <c r="AN92" s="4" t="s">
        <v>569</v>
      </c>
      <c r="AP92" s="4">
        <f>[1]Hist!$X102</f>
        <v>0</v>
      </c>
    </row>
    <row r="93" spans="1:42" x14ac:dyDescent="0.2">
      <c r="A93" s="4">
        <v>91</v>
      </c>
      <c r="B93" s="215">
        <f>[2]Arkusz1!B97</f>
        <v>45897.865740740737</v>
      </c>
      <c r="C93" s="44" t="str">
        <f>_xlfn.CONCAT([2]Arkusz1!G97," ",[2]Arkusz1!H97)</f>
        <v>Magdalena Nowak</v>
      </c>
      <c r="D93" s="4" t="s">
        <v>301</v>
      </c>
      <c r="E93" s="4" t="s">
        <v>570</v>
      </c>
      <c r="F93" s="218">
        <v>84040108610</v>
      </c>
      <c r="G93" s="4">
        <f>[2]Arkusz1!I97</f>
        <v>48724590466</v>
      </c>
      <c r="H93" s="4" t="str">
        <f>[2]Arkusz1!J97</f>
        <v>nowak.magdzia82@gmail.com</v>
      </c>
      <c r="I93" s="213" t="str">
        <f>_xlfn.CONCAT([2]Arkusz1!C97," ",[2]Arkusz1!D97)</f>
        <v>Patryk Nowak</v>
      </c>
      <c r="J93" s="216">
        <f ca="1">IF(DATEDIF([2]Arkusz1!S97,TODAY(),"Y")&gt;21,0,DATEDIF([2]Arkusz1!S97,TODAY(),"Y"))</f>
        <v>15</v>
      </c>
      <c r="K93" s="4" t="str">
        <f>[2]Arkusz1!T97</f>
        <v>Średnia - liceum</v>
      </c>
      <c r="L93" s="216">
        <f>[2]Arkusz1!U97</f>
        <v>1</v>
      </c>
      <c r="M93" s="4" t="str">
        <f>[2]Arkusz1!P97</f>
        <v>Język angielski</v>
      </c>
      <c r="N93" s="4">
        <f>[2]Arkusz1!Q97</f>
        <v>0</v>
      </c>
      <c r="O93" s="4" t="str">
        <f>[2]Arkusz1!V97</f>
        <v>Nie</v>
      </c>
      <c r="P93" s="4">
        <f t="shared" si="2"/>
        <v>2</v>
      </c>
      <c r="Q93" s="4">
        <f>[2]Arkusz1!Y97</f>
        <v>0</v>
      </c>
      <c r="R93" s="4" t="s">
        <v>64</v>
      </c>
      <c r="S93" s="4" t="s">
        <v>64</v>
      </c>
      <c r="T93" s="4">
        <f>[2]Arkusz1!AA97</f>
        <v>5</v>
      </c>
      <c r="U93" s="4" t="str">
        <f>IF([2]Arkusz1!O97=[2]Arkusz1!$O$7,"Z",IF([2]Arkusz1!O97=[2]Arkusz1!$O$15,"Ix3",IF([2]Arkusz1!O97=[2]Arkusz1!$O$20,"Ix1","Ix2")))</f>
        <v>Z</v>
      </c>
      <c r="V93" s="4">
        <f>[2]Arkusz1!AM97</f>
        <v>64</v>
      </c>
      <c r="W93" s="4">
        <f>[2]Arkusz1!AB97</f>
        <v>45901</v>
      </c>
      <c r="X93" s="220" t="str">
        <f>_xlfn.TEXTBEFORE([2]Arkusz1!AC97," (")</f>
        <v>maj 2026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I93" s="4" t="s">
        <v>571</v>
      </c>
      <c r="AJ93" s="4" t="s">
        <v>360</v>
      </c>
      <c r="AK93" s="4" t="s">
        <v>572</v>
      </c>
      <c r="AL93" s="4">
        <v>82070409666</v>
      </c>
      <c r="AM93" s="4">
        <v>48724590466</v>
      </c>
      <c r="AN93" s="4" t="s">
        <v>573</v>
      </c>
      <c r="AP93" s="4">
        <f>[1]Hist!$X103</f>
        <v>0</v>
      </c>
    </row>
    <row r="94" spans="1:42" x14ac:dyDescent="0.2">
      <c r="A94" s="4">
        <v>92</v>
      </c>
      <c r="B94" s="215">
        <f>[2]Arkusz1!B98</f>
        <v>45897.868784722225</v>
      </c>
      <c r="C94" s="44" t="str">
        <f>_xlfn.CONCAT([2]Arkusz1!G98," ",[2]Arkusz1!H98)</f>
        <v>Magdalena Nowak</v>
      </c>
      <c r="D94" s="4" t="s">
        <v>301</v>
      </c>
      <c r="E94" s="4" t="s">
        <v>570</v>
      </c>
      <c r="F94" s="218">
        <v>84040108610</v>
      </c>
      <c r="G94" s="4">
        <f>[2]Arkusz1!I98</f>
        <v>48724590466</v>
      </c>
      <c r="H94" s="4" t="str">
        <f>[2]Arkusz1!J98</f>
        <v>nowak.magdzia82@gmail.com</v>
      </c>
      <c r="I94" s="213" t="str">
        <f>_xlfn.CONCAT([2]Arkusz1!C98," ",[2]Arkusz1!D98)</f>
        <v>Amelia Nowak</v>
      </c>
      <c r="J94" s="216">
        <f ca="1">IF(DATEDIF([2]Arkusz1!S98,TODAY(),"Y")&gt;21,0,DATEDIF([2]Arkusz1!S98,TODAY(),"Y"))</f>
        <v>14</v>
      </c>
      <c r="K94" s="4" t="str">
        <f>[2]Arkusz1!T98</f>
        <v>Podstawowa</v>
      </c>
      <c r="L94" s="216">
        <f>[2]Arkusz1!U98</f>
        <v>7</v>
      </c>
      <c r="M94" s="4" t="str">
        <f>[2]Arkusz1!P98</f>
        <v>Język angielski</v>
      </c>
      <c r="N94" s="4">
        <f>[2]Arkusz1!Q98</f>
        <v>0</v>
      </c>
      <c r="O94" s="4" t="str">
        <f>[2]Arkusz1!V98</f>
        <v>Nie</v>
      </c>
      <c r="P94" s="4">
        <f t="shared" si="2"/>
        <v>2</v>
      </c>
      <c r="Q94" s="4">
        <f>[2]Arkusz1!Y98</f>
        <v>0</v>
      </c>
      <c r="R94" s="4" t="s">
        <v>64</v>
      </c>
      <c r="S94" s="4" t="s">
        <v>64</v>
      </c>
      <c r="T94" s="4">
        <f>[2]Arkusz1!AA98</f>
        <v>5</v>
      </c>
      <c r="U94" s="4" t="str">
        <f>IF([2]Arkusz1!O98=[2]Arkusz1!$O$7,"Z",IF([2]Arkusz1!O98=[2]Arkusz1!$O$15,"Ix3",IF([2]Arkusz1!O98=[2]Arkusz1!$O$20,"Ix1","Ix2")))</f>
        <v>Z</v>
      </c>
      <c r="V94" s="4">
        <f>[2]Arkusz1!AM98</f>
        <v>64</v>
      </c>
      <c r="W94" s="4">
        <f>[2]Arkusz1!AB98</f>
        <v>45901</v>
      </c>
      <c r="X94" s="220" t="str">
        <f>_xlfn.TEXTBEFORE([2]Arkusz1!AC98," (")</f>
        <v>maj 2026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I94" s="4" t="s">
        <v>571</v>
      </c>
      <c r="AJ94" s="4" t="s">
        <v>360</v>
      </c>
      <c r="AK94" s="4" t="s">
        <v>572</v>
      </c>
      <c r="AL94" s="4">
        <v>82070409666</v>
      </c>
      <c r="AM94" s="4">
        <v>48724590466</v>
      </c>
      <c r="AN94" s="4" t="s">
        <v>573</v>
      </c>
      <c r="AP94" s="4">
        <f>[1]Hist!$X104</f>
        <v>0</v>
      </c>
    </row>
    <row r="95" spans="1:42" x14ac:dyDescent="0.2">
      <c r="A95" s="4">
        <v>93</v>
      </c>
      <c r="B95" s="215">
        <f>[2]Arkusz1!B99</f>
        <v>45897.881076388891</v>
      </c>
      <c r="C95" s="44" t="str">
        <f>_xlfn.CONCAT([2]Arkusz1!G99," ",[2]Arkusz1!H99)</f>
        <v>Łukasz Nowak</v>
      </c>
      <c r="F95" s="218"/>
      <c r="G95" s="4">
        <f>[2]Arkusz1!I99</f>
        <v>48695186363</v>
      </c>
      <c r="H95" s="4" t="str">
        <f>[2]Arkusz1!J99</f>
        <v>lukaszyk.nowak@gmail.com</v>
      </c>
      <c r="I95" s="213" t="str">
        <f>_xlfn.CONCAT([2]Arkusz1!C99," ",[2]Arkusz1!D99)</f>
        <v>Amelia Nowak</v>
      </c>
      <c r="J95" s="216">
        <f ca="1">IF(DATEDIF([2]Arkusz1!S99,TODAY(),"Y")&gt;21,0,DATEDIF([2]Arkusz1!S99,TODAY(),"Y"))</f>
        <v>14</v>
      </c>
      <c r="K95" s="4" t="str">
        <f>[2]Arkusz1!T99</f>
        <v>Podstawowa</v>
      </c>
      <c r="L95" s="216">
        <f>[2]Arkusz1!U99</f>
        <v>7</v>
      </c>
      <c r="M95" s="4" t="str">
        <f>[2]Arkusz1!P99</f>
        <v>Język angielski</v>
      </c>
      <c r="N95" s="4">
        <f>[2]Arkusz1!Q99</f>
        <v>0</v>
      </c>
      <c r="O95" s="4" t="str">
        <f>[2]Arkusz1!V99</f>
        <v>Nie</v>
      </c>
      <c r="P95" s="4">
        <f t="shared" si="2"/>
        <v>1</v>
      </c>
      <c r="Q95" s="4">
        <f>[2]Arkusz1!Y99</f>
        <v>0</v>
      </c>
      <c r="R95" s="4" t="s">
        <v>64</v>
      </c>
      <c r="S95" s="4" t="s">
        <v>64</v>
      </c>
      <c r="T95" s="4">
        <f>[2]Arkusz1!AA99</f>
        <v>5</v>
      </c>
      <c r="U95" s="4" t="str">
        <f>IF([2]Arkusz1!O99=[2]Arkusz1!$O$7,"Z",IF([2]Arkusz1!O99=[2]Arkusz1!$O$15,"Ix3",IF([2]Arkusz1!O99=[2]Arkusz1!$O$20,"Ix1","Ix2")))</f>
        <v>Z</v>
      </c>
      <c r="V95" s="4">
        <f>[2]Arkusz1!AM99</f>
        <v>64</v>
      </c>
      <c r="W95" s="4">
        <f>[2]Arkusz1!AB99</f>
        <v>45901</v>
      </c>
      <c r="X95" s="220" t="str">
        <f>_xlfn.TEXTBEFORE([2]Arkusz1!AC99," (")</f>
        <v>maj 2026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I95" s="4" t="s">
        <v>574</v>
      </c>
      <c r="AJ95" s="4" t="s">
        <v>485</v>
      </c>
      <c r="AK95" s="4" t="s">
        <v>486</v>
      </c>
      <c r="AL95" s="4">
        <v>84041314346</v>
      </c>
      <c r="AM95" s="4">
        <v>48695186363</v>
      </c>
      <c r="AN95" s="4" t="s">
        <v>575</v>
      </c>
      <c r="AP95" s="4">
        <f>[1]Hist!$X105</f>
        <v>0</v>
      </c>
    </row>
    <row r="96" spans="1:42" x14ac:dyDescent="0.2">
      <c r="A96" s="4">
        <v>94</v>
      </c>
      <c r="B96" s="215">
        <f>[2]Arkusz1!B100</f>
        <v>45897.883136574077</v>
      </c>
      <c r="C96" s="44" t="str">
        <f>_xlfn.CONCAT([2]Arkusz1!G100," ",[2]Arkusz1!H100)</f>
        <v>Adam Seroczyński</v>
      </c>
      <c r="D96" s="4" t="s">
        <v>351</v>
      </c>
      <c r="F96" s="218"/>
      <c r="G96" s="4">
        <f>[2]Arkusz1!I100</f>
        <v>48698462163</v>
      </c>
      <c r="H96" s="4" t="str">
        <f>[2]Arkusz1!J100</f>
        <v>adam.seroczynski@inter.ikea.com</v>
      </c>
      <c r="I96" s="213" t="str">
        <f>_xlfn.CONCAT([2]Arkusz1!C100," ",[2]Arkusz1!D100)</f>
        <v>Adam Seroczyński</v>
      </c>
      <c r="J96" s="216"/>
      <c r="K96" s="4">
        <f>[2]Arkusz1!T100</f>
        <v>0</v>
      </c>
      <c r="L96" s="216">
        <f>[2]Arkusz1!U100</f>
        <v>0</v>
      </c>
      <c r="M96" s="4" t="str">
        <f>[2]Arkusz1!P100</f>
        <v>Język angielski</v>
      </c>
      <c r="N96" s="4">
        <f>[2]Arkusz1!Q100</f>
        <v>0</v>
      </c>
      <c r="O96" s="4" t="str">
        <f>[2]Arkusz1!V100</f>
        <v>Nie</v>
      </c>
      <c r="P96" s="4">
        <f t="shared" si="2"/>
        <v>1</v>
      </c>
      <c r="Q96" s="4">
        <f>[2]Arkusz1!Y100</f>
        <v>0</v>
      </c>
      <c r="R96" s="4" t="s">
        <v>64</v>
      </c>
      <c r="S96" s="4" t="s">
        <v>64</v>
      </c>
      <c r="T96" s="4">
        <f>[2]Arkusz1!AA100</f>
        <v>5</v>
      </c>
      <c r="U96" s="4" t="str">
        <f>IF([2]Arkusz1!O100=[2]Arkusz1!$O$7,"Z",IF([2]Arkusz1!O100=[2]Arkusz1!$O$15,"Ix3",IF([2]Arkusz1!O100=[2]Arkusz1!$O$20,"Ix1","Ix2")))</f>
        <v>Ix1</v>
      </c>
      <c r="V96" s="4">
        <f>[2]Arkusz1!AM100</f>
        <v>30</v>
      </c>
      <c r="W96" s="4">
        <f>[2]Arkusz1!AB100</f>
        <v>45931</v>
      </c>
      <c r="X96" s="220" t="str">
        <f>_xlfn.TEXTBEFORE([2]Arkusz1!AC100," (")</f>
        <v>maj 2026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I96" s="4" t="s">
        <v>574</v>
      </c>
      <c r="AJ96" s="4" t="s">
        <v>485</v>
      </c>
      <c r="AK96" s="4" t="s">
        <v>486</v>
      </c>
      <c r="AL96" s="4">
        <v>84041314346</v>
      </c>
      <c r="AM96" s="4">
        <v>48695186363</v>
      </c>
      <c r="AN96" s="4" t="s">
        <v>575</v>
      </c>
      <c r="AP96" s="4">
        <f>[1]Hist!$X106</f>
        <v>0</v>
      </c>
    </row>
    <row r="97" spans="1:42" x14ac:dyDescent="0.2">
      <c r="A97" s="4">
        <v>95</v>
      </c>
      <c r="B97" s="215">
        <f>[2]Arkusz1!B101</f>
        <v>45897.905231481483</v>
      </c>
      <c r="C97" s="44" t="str">
        <f>_xlfn.CONCAT([2]Arkusz1!G101," ",[2]Arkusz1!H101)</f>
        <v>Aneta Miszewska</v>
      </c>
      <c r="D97" s="4" t="s">
        <v>551</v>
      </c>
      <c r="E97" s="4" t="s">
        <v>576</v>
      </c>
      <c r="F97" s="218">
        <v>86103106120</v>
      </c>
      <c r="G97" s="4">
        <f>[2]Arkusz1!I101</f>
        <v>48665933221</v>
      </c>
      <c r="H97" s="4" t="str">
        <f>[2]Arkusz1!J101</f>
        <v>krzysztof-miszewski1@wp.pl</v>
      </c>
      <c r="I97" s="213" t="str">
        <f>_xlfn.CONCAT([2]Arkusz1!C101," ",[2]Arkusz1!D101)</f>
        <v>Adam Miszewski</v>
      </c>
      <c r="J97" s="216">
        <f ca="1">IF(DATEDIF([2]Arkusz1!S101,TODAY(),"Y")&gt;21,0,DATEDIF([2]Arkusz1!S101,TODAY(),"Y"))</f>
        <v>13</v>
      </c>
      <c r="K97" s="4" t="str">
        <f>[2]Arkusz1!T101</f>
        <v>Podstawowa</v>
      </c>
      <c r="L97" s="216">
        <f>[2]Arkusz1!U101</f>
        <v>6</v>
      </c>
      <c r="M97" s="4" t="str">
        <f>[2]Arkusz1!P101</f>
        <v>Język angielski</v>
      </c>
      <c r="N97" s="4">
        <f>[2]Arkusz1!Q101</f>
        <v>0</v>
      </c>
      <c r="O97" s="4" t="str">
        <f>[2]Arkusz1!V101</f>
        <v>Tak (lub kolejny członek rodziny)</v>
      </c>
      <c r="P97" s="4">
        <f t="shared" si="2"/>
        <v>2</v>
      </c>
      <c r="Q97" s="4">
        <f>[2]Arkusz1!Y101</f>
        <v>0</v>
      </c>
      <c r="R97" s="4" t="s">
        <v>64</v>
      </c>
      <c r="S97" s="4" t="s">
        <v>64</v>
      </c>
      <c r="T97" s="4">
        <f>[2]Arkusz1!AA101</f>
        <v>15</v>
      </c>
      <c r="U97" s="4" t="str">
        <f>IF([2]Arkusz1!O101=[2]Arkusz1!$O$7,"Z",IF([2]Arkusz1!O101=[2]Arkusz1!$O$15,"Ix3",IF([2]Arkusz1!O101=[2]Arkusz1!$O$20,"Ix1","Ix2")))</f>
        <v>Ix3</v>
      </c>
      <c r="V97" s="4">
        <f>[2]Arkusz1!AM101</f>
        <v>64</v>
      </c>
      <c r="W97" s="4">
        <f>[2]Arkusz1!AB101</f>
        <v>45901</v>
      </c>
      <c r="X97" s="220">
        <f>[2]Arkusz1!AC101</f>
        <v>45992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I97" s="4" t="s">
        <v>577</v>
      </c>
      <c r="AJ97" s="4" t="s">
        <v>293</v>
      </c>
      <c r="AK97" s="4" t="s">
        <v>578</v>
      </c>
      <c r="AL97" s="4">
        <v>86103106120</v>
      </c>
      <c r="AM97" s="4">
        <v>48665933221</v>
      </c>
      <c r="AN97" s="4" t="s">
        <v>579</v>
      </c>
      <c r="AP97" s="4">
        <f>[1]Hist!$X107</f>
        <v>0</v>
      </c>
    </row>
    <row r="98" spans="1:42" x14ac:dyDescent="0.2">
      <c r="A98" s="4">
        <v>96</v>
      </c>
      <c r="B98" s="215">
        <f>[2]Arkusz1!B102</f>
        <v>45897.908333333333</v>
      </c>
      <c r="C98" s="44" t="str">
        <f>_xlfn.CONCAT([2]Arkusz1!G102," ",[2]Arkusz1!H102)</f>
        <v>Aneta Miszewska</v>
      </c>
      <c r="D98" s="4" t="s">
        <v>551</v>
      </c>
      <c r="E98" s="4" t="s">
        <v>576</v>
      </c>
      <c r="F98" s="218">
        <v>86103106120</v>
      </c>
      <c r="G98" s="4">
        <f>[2]Arkusz1!I102</f>
        <v>48665933221</v>
      </c>
      <c r="H98" s="4" t="str">
        <f>[2]Arkusz1!J102</f>
        <v>krzysztof-miszewski1@wp.pl</v>
      </c>
      <c r="I98" s="213" t="str">
        <f>_xlfn.CONCAT([2]Arkusz1!C102," ",[2]Arkusz1!D102)</f>
        <v>Igor Miszewski</v>
      </c>
      <c r="J98" s="216">
        <f ca="1">IF(DATEDIF([2]Arkusz1!S102,TODAY(),"Y")&gt;21,0,DATEDIF([2]Arkusz1!S102,TODAY(),"Y"))</f>
        <v>14</v>
      </c>
      <c r="K98" s="4" t="str">
        <f>[2]Arkusz1!T102</f>
        <v>Podstawowa</v>
      </c>
      <c r="L98" s="216">
        <f>[2]Arkusz1!U102</f>
        <v>8</v>
      </c>
      <c r="M98" s="4" t="str">
        <f>[2]Arkusz1!P102</f>
        <v>Język angielski</v>
      </c>
      <c r="N98" s="4" t="str">
        <f>[2]Arkusz1!Q102</f>
        <v>Ósmoklasisty</v>
      </c>
      <c r="O98" s="4" t="str">
        <f>[2]Arkusz1!V102</f>
        <v>Tak (lub kolejny członek rodziny)</v>
      </c>
      <c r="P98" s="4">
        <f t="shared" si="2"/>
        <v>2</v>
      </c>
      <c r="Q98" s="4">
        <f>[2]Arkusz1!Y102</f>
        <v>0</v>
      </c>
      <c r="R98" s="4" t="s">
        <v>64</v>
      </c>
      <c r="S98" s="4" t="s">
        <v>64</v>
      </c>
      <c r="T98" s="4">
        <f>[2]Arkusz1!AA102</f>
        <v>15</v>
      </c>
      <c r="U98" s="4" t="str">
        <f>IF([2]Arkusz1!O102=[2]Arkusz1!$O$7,"Z",IF([2]Arkusz1!O102=[2]Arkusz1!$O$15,"Ix3",IF([2]Arkusz1!O102=[2]Arkusz1!$O$20,"Ix1","Ix2")))</f>
        <v>Ix3</v>
      </c>
      <c r="V98" s="4">
        <f>[2]Arkusz1!AM102</f>
        <v>64</v>
      </c>
      <c r="W98" s="4">
        <f>[2]Arkusz1!AB102</f>
        <v>45901</v>
      </c>
      <c r="X98" s="220">
        <f>[2]Arkusz1!AC102</f>
        <v>45992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I98" s="4" t="s">
        <v>577</v>
      </c>
      <c r="AJ98" s="4" t="s">
        <v>293</v>
      </c>
      <c r="AK98" s="4" t="s">
        <v>578</v>
      </c>
      <c r="AL98" s="4">
        <v>86103106120</v>
      </c>
      <c r="AM98" s="4">
        <v>48665933221</v>
      </c>
      <c r="AN98" s="4" t="s">
        <v>579</v>
      </c>
      <c r="AP98" s="4">
        <f>[1]Hist!$X108</f>
        <v>0</v>
      </c>
    </row>
    <row r="99" spans="1:42" x14ac:dyDescent="0.2">
      <c r="A99" s="4">
        <v>97</v>
      </c>
      <c r="B99" s="215">
        <f>[2]Arkusz1!B103</f>
        <v>45898.841724537036</v>
      </c>
      <c r="C99" s="44" t="str">
        <f>_xlfn.CONCAT([2]Arkusz1!G103," ",[2]Arkusz1!H103)</f>
        <v>Krzysztof Jakielski</v>
      </c>
      <c r="D99" s="4" t="s">
        <v>248</v>
      </c>
      <c r="E99" s="4" t="s">
        <v>580</v>
      </c>
      <c r="F99" s="218">
        <v>77070110139</v>
      </c>
      <c r="G99" s="4">
        <f>[2]Arkusz1!I103</f>
        <v>48503131662</v>
      </c>
      <c r="H99" s="4" t="str">
        <f>[2]Arkusz1!J103</f>
        <v>krzysztofqjakielski@wp.pl</v>
      </c>
      <c r="I99" s="213" t="str">
        <f>_xlfn.CONCAT([2]Arkusz1!C103," ",[2]Arkusz1!D103)</f>
        <v>Iwo Jakielski</v>
      </c>
      <c r="J99" s="216">
        <f ca="1">IF(DATEDIF([2]Arkusz1!S103,TODAY(),"Y")&gt;21,0,DATEDIF([2]Arkusz1!S103,TODAY(),"Y"))</f>
        <v>17</v>
      </c>
      <c r="K99" s="4" t="str">
        <f>[2]Arkusz1!T103</f>
        <v>Średnia - liceum</v>
      </c>
      <c r="L99" s="216">
        <f>[2]Arkusz1!U103</f>
        <v>3</v>
      </c>
      <c r="M99" s="4" t="str">
        <f>[2]Arkusz1!P103</f>
        <v>Język angielski</v>
      </c>
      <c r="N99" s="4">
        <f>[2]Arkusz1!Q103</f>
        <v>0</v>
      </c>
      <c r="O99" s="4" t="str">
        <f>[2]Arkusz1!V103</f>
        <v>Tak (lub kolejny członek rodziny)</v>
      </c>
      <c r="P99" s="4">
        <f t="shared" si="2"/>
        <v>1</v>
      </c>
      <c r="Q99" s="4">
        <f>[2]Arkusz1!Y103</f>
        <v>0</v>
      </c>
      <c r="R99" s="4" t="s">
        <v>64</v>
      </c>
      <c r="S99" s="4" t="s">
        <v>64</v>
      </c>
      <c r="T99" s="4">
        <f>[2]Arkusz1!AA103</f>
        <v>25</v>
      </c>
      <c r="U99" s="4" t="str">
        <f>IF([2]Arkusz1!O103=[2]Arkusz1!$O$7,"Z",IF([2]Arkusz1!O103=[2]Arkusz1!$O$15,"Ix3",IF([2]Arkusz1!O103=[2]Arkusz1!$O$20,"Ix1","Ix2")))</f>
        <v>Z</v>
      </c>
      <c r="V99" s="4">
        <f>[2]Arkusz1!AM103</f>
        <v>64</v>
      </c>
      <c r="W99" s="4">
        <f>[2]Arkusz1!AB103</f>
        <v>45901</v>
      </c>
      <c r="X99" s="220" t="str">
        <f>_xlfn.TEXTBEFORE([2]Arkusz1!AC103," (")</f>
        <v>maj 2026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I99" s="4" t="s">
        <v>581</v>
      </c>
      <c r="AJ99" s="4" t="s">
        <v>248</v>
      </c>
      <c r="AK99" s="4" t="s">
        <v>580</v>
      </c>
      <c r="AL99" s="4">
        <v>77070110139</v>
      </c>
      <c r="AM99" s="4">
        <v>48517071439</v>
      </c>
      <c r="AN99" s="4" t="s">
        <v>582</v>
      </c>
      <c r="AP99" s="4">
        <f>[1]Hist!$X109</f>
        <v>0</v>
      </c>
    </row>
    <row r="100" spans="1:42" x14ac:dyDescent="0.2">
      <c r="A100" s="4">
        <v>98</v>
      </c>
      <c r="B100" s="215">
        <f>[2]Arkusz1!B104</f>
        <v>45899.526388888888</v>
      </c>
      <c r="C100" s="44" t="str">
        <f>_xlfn.CONCAT([2]Arkusz1!G104," ",[2]Arkusz1!H104)</f>
        <v>Ewa Trzebiatowska-Maciejko</v>
      </c>
      <c r="D100" s="4" t="s">
        <v>248</v>
      </c>
      <c r="E100" s="4" t="s">
        <v>583</v>
      </c>
      <c r="F100" s="218">
        <v>77062707989</v>
      </c>
      <c r="G100" s="4">
        <f>[2]Arkusz1!I104</f>
        <v>48665612602</v>
      </c>
      <c r="H100" s="4" t="str">
        <f>[2]Arkusz1!J104</f>
        <v>ewa7706@wp.pl</v>
      </c>
      <c r="I100" s="213" t="str">
        <f>_xlfn.CONCAT([2]Arkusz1!C104," ",[2]Arkusz1!D104)</f>
        <v>Alicja Maciejko</v>
      </c>
      <c r="J100" s="216">
        <f ca="1">IF(DATEDIF([2]Arkusz1!S104,TODAY(),"Y")&gt;21,0,DATEDIF([2]Arkusz1!S104,TODAY(),"Y"))</f>
        <v>17</v>
      </c>
      <c r="K100" s="4" t="str">
        <f>[2]Arkusz1!T104</f>
        <v>Średnia - liceum</v>
      </c>
      <c r="L100" s="216">
        <f>[2]Arkusz1!U104</f>
        <v>3</v>
      </c>
      <c r="M100" s="4" t="str">
        <f>[2]Arkusz1!P104</f>
        <v>Język angielski</v>
      </c>
      <c r="N100" s="4">
        <f>[2]Arkusz1!Q104</f>
        <v>0</v>
      </c>
      <c r="O100" s="4" t="str">
        <f>[2]Arkusz1!V104</f>
        <v>Tak (lub kolejny członek rodziny)</v>
      </c>
      <c r="P100" s="4">
        <f t="shared" si="2"/>
        <v>1</v>
      </c>
      <c r="Q100" s="4">
        <f>[2]Arkusz1!Y104</f>
        <v>0</v>
      </c>
      <c r="R100" s="4" t="s">
        <v>64</v>
      </c>
      <c r="S100" s="4" t="s">
        <v>64</v>
      </c>
      <c r="T100" s="4">
        <f>[2]Arkusz1!AA104</f>
        <v>15</v>
      </c>
      <c r="U100" s="4" t="str">
        <f>IF([2]Arkusz1!O104=[2]Arkusz1!$O$7,"Z",IF([2]Arkusz1!O104=[2]Arkusz1!$O$15,"Ix3",IF([2]Arkusz1!O104=[2]Arkusz1!$O$20,"Ix1","Ix2")))</f>
        <v>Z</v>
      </c>
      <c r="V100" s="4">
        <f>[2]Arkusz1!AM104</f>
        <v>64</v>
      </c>
      <c r="W100" s="4">
        <f>[2]Arkusz1!AB104</f>
        <v>45901</v>
      </c>
      <c r="X100" s="220" t="str">
        <f>_xlfn.TEXTBEFORE([2]Arkusz1!AC104," (")</f>
        <v>maj 2026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I100" s="4" t="s">
        <v>584</v>
      </c>
      <c r="AJ100" s="4" t="s">
        <v>351</v>
      </c>
      <c r="AK100" s="4" t="s">
        <v>585</v>
      </c>
      <c r="AL100" s="4">
        <v>59102603042</v>
      </c>
      <c r="AM100" s="4">
        <v>48727731815</v>
      </c>
      <c r="AN100" s="4" t="s">
        <v>586</v>
      </c>
      <c r="AP100" s="4">
        <f>[1]Hist!$X110</f>
        <v>0</v>
      </c>
    </row>
    <row r="101" spans="1:42" x14ac:dyDescent="0.2">
      <c r="A101" s="4">
        <v>99</v>
      </c>
      <c r="B101" s="215">
        <f>[2]Arkusz1!B105</f>
        <v>45900.382650462961</v>
      </c>
      <c r="C101" s="44" t="str">
        <f>_xlfn.CONCAT([2]Arkusz1!G105," ",[2]Arkusz1!H105)</f>
        <v>Karolina Kubańska</v>
      </c>
      <c r="D101" s="4" t="s">
        <v>248</v>
      </c>
      <c r="E101" s="4" t="s">
        <v>587</v>
      </c>
      <c r="F101" s="218">
        <v>92020402502</v>
      </c>
      <c r="G101" s="4">
        <f>[2]Arkusz1!I105</f>
        <v>48783496022</v>
      </c>
      <c r="H101" s="4" t="str">
        <f>[2]Arkusz1!J105</f>
        <v>kubanska.karolina@gmail.com</v>
      </c>
      <c r="I101" s="213" t="str">
        <f>_xlfn.CONCAT([2]Arkusz1!C105," ",[2]Arkusz1!D105)</f>
        <v>Mieszko Kubański</v>
      </c>
      <c r="J101" s="216">
        <f ca="1">IF(DATEDIF([2]Arkusz1!S105,TODAY(),"Y")&gt;21,0,DATEDIF([2]Arkusz1!S105,TODAY(),"Y"))</f>
        <v>11</v>
      </c>
      <c r="K101" s="4" t="str">
        <f>[2]Arkusz1!T105</f>
        <v>Podstawowa</v>
      </c>
      <c r="L101" s="216">
        <f>[2]Arkusz1!U105</f>
        <v>5</v>
      </c>
      <c r="M101" s="4" t="str">
        <f>[2]Arkusz1!P105</f>
        <v>Język angielski</v>
      </c>
      <c r="N101" s="4">
        <f>[2]Arkusz1!Q105</f>
        <v>0</v>
      </c>
      <c r="O101" s="4" t="str">
        <f>[2]Arkusz1!V105</f>
        <v>Nie</v>
      </c>
      <c r="P101" s="4">
        <f t="shared" si="2"/>
        <v>1</v>
      </c>
      <c r="Q101" s="4">
        <f>[2]Arkusz1!Y105</f>
        <v>0</v>
      </c>
      <c r="R101" s="4" t="s">
        <v>64</v>
      </c>
      <c r="S101" s="4" t="s">
        <v>64</v>
      </c>
      <c r="T101" s="4">
        <f>[2]Arkusz1!AA105</f>
        <v>15</v>
      </c>
      <c r="U101" s="4" t="str">
        <f>IF([2]Arkusz1!O105=[2]Arkusz1!$O$7,"Z",IF([2]Arkusz1!O105=[2]Arkusz1!$O$15,"Ix3",IF([2]Arkusz1!O105=[2]Arkusz1!$O$20,"Ix1","Ix2")))</f>
        <v>Z</v>
      </c>
      <c r="V101" s="4">
        <f>[2]Arkusz1!AM105</f>
        <v>64</v>
      </c>
      <c r="W101" s="4">
        <f>[2]Arkusz1!AB105</f>
        <v>45901</v>
      </c>
      <c r="X101" s="220" t="str">
        <f>_xlfn.TEXTBEFORE([2]Arkusz1!AC105," (")</f>
        <v>maj 2026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I101" s="4" t="s">
        <v>588</v>
      </c>
      <c r="AJ101" s="4" t="s">
        <v>274</v>
      </c>
      <c r="AK101" s="4" t="s">
        <v>589</v>
      </c>
      <c r="AL101" s="4">
        <v>87060211340</v>
      </c>
      <c r="AM101" s="4">
        <v>48783496022</v>
      </c>
      <c r="AN101" s="4" t="s">
        <v>590</v>
      </c>
      <c r="AP101" s="4">
        <f>[1]Hist!$X111</f>
        <v>0</v>
      </c>
    </row>
    <row r="102" spans="1:42" x14ac:dyDescent="0.2">
      <c r="A102" s="4">
        <v>100</v>
      </c>
      <c r="B102" s="215">
        <f>[2]Arkusz1!B106</f>
        <v>45900.465046296296</v>
      </c>
      <c r="C102" s="44" t="str">
        <f>_xlfn.CONCAT([2]Arkusz1!G106," ",[2]Arkusz1!H106)</f>
        <v>Magdalena Getka</v>
      </c>
      <c r="D102" s="4" t="s">
        <v>248</v>
      </c>
      <c r="E102" s="4" t="s">
        <v>591</v>
      </c>
      <c r="F102" s="218">
        <v>78031708305</v>
      </c>
      <c r="G102" s="222">
        <v>48505047987</v>
      </c>
      <c r="H102" s="4" t="str">
        <f>[2]Arkusz1!J106</f>
        <v>superdekoratornia@wp.pl</v>
      </c>
      <c r="I102" s="213" t="str">
        <f>_xlfn.CONCAT([2]Arkusz1!C106," ",[2]Arkusz1!D106)</f>
        <v>Mikołaj Puchalski</v>
      </c>
      <c r="J102" s="216">
        <f ca="1">IF(DATEDIF([2]Arkusz1!S106,TODAY(),"Y")&gt;21,0,DATEDIF([2]Arkusz1!S106,TODAY(),"Y"))</f>
        <v>13</v>
      </c>
      <c r="K102" s="4" t="str">
        <f>[2]Arkusz1!T106</f>
        <v>Podstawowa</v>
      </c>
      <c r="L102" s="216">
        <f>[2]Arkusz1!U106</f>
        <v>6</v>
      </c>
      <c r="M102" s="4" t="str">
        <f>[2]Arkusz1!P106</f>
        <v>Język angielski</v>
      </c>
      <c r="N102" s="4">
        <f>[2]Arkusz1!Q106</f>
        <v>0</v>
      </c>
      <c r="O102" s="4" t="str">
        <f>[2]Arkusz1!V106</f>
        <v>Nie</v>
      </c>
      <c r="P102" s="4">
        <f t="shared" si="2"/>
        <v>2</v>
      </c>
      <c r="Q102" s="4">
        <f>[2]Arkusz1!Y106</f>
        <v>0</v>
      </c>
      <c r="R102" s="4" t="s">
        <v>64</v>
      </c>
      <c r="S102" s="4" t="s">
        <v>64</v>
      </c>
      <c r="T102" s="4">
        <f>[2]Arkusz1!AA106</f>
        <v>5</v>
      </c>
      <c r="U102" s="4" t="str">
        <f>IF([2]Arkusz1!O106=[2]Arkusz1!$O$7,"Z",IF([2]Arkusz1!O106=[2]Arkusz1!$O$15,"Ix3",IF([2]Arkusz1!O106=[2]Arkusz1!$O$20,"Ix1","Ix2")))</f>
        <v>Z</v>
      </c>
      <c r="V102" s="4">
        <f>[2]Arkusz1!AM106</f>
        <v>64</v>
      </c>
      <c r="W102" s="4">
        <f>[2]Arkusz1!AB106</f>
        <v>45901</v>
      </c>
      <c r="X102" s="220" t="str">
        <f>_xlfn.TEXTBEFORE([2]Arkusz1!AC106," (")</f>
        <v>maj 2026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I102" s="4" t="s">
        <v>546</v>
      </c>
      <c r="AJ102" s="4" t="s">
        <v>307</v>
      </c>
      <c r="AK102" s="4" t="s">
        <v>547</v>
      </c>
      <c r="AL102" s="4">
        <v>14210215037</v>
      </c>
      <c r="AM102" s="4">
        <v>48512201197</v>
      </c>
      <c r="AN102" s="4">
        <v>0</v>
      </c>
      <c r="AP102" s="4">
        <f>[1]Hist!$X112</f>
        <v>0</v>
      </c>
    </row>
    <row r="103" spans="1:42" x14ac:dyDescent="0.2">
      <c r="A103" s="223">
        <v>101</v>
      </c>
      <c r="B103" s="224">
        <f>[2]Arkusz1!B107</f>
        <v>45901.712731481479</v>
      </c>
      <c r="C103" s="223" t="str">
        <f>_xlfn.CONCAT([2]Arkusz1!G107," ",[2]Arkusz1!H107)</f>
        <v>MAGDALENA Józefowicz</v>
      </c>
      <c r="D103" s="223"/>
      <c r="E103" s="223"/>
      <c r="F103" s="223"/>
      <c r="G103" s="223">
        <f>[2]Arkusz1!I107</f>
        <v>48669352866</v>
      </c>
      <c r="H103" s="223" t="str">
        <f>[2]Arkusz1!J107</f>
        <v>tuptus44@wp.pl</v>
      </c>
      <c r="I103" s="223" t="str">
        <f>_xlfn.CONCAT([2]Arkusz1!C107," ",[2]Arkusz1!D107)</f>
        <v>ZOFIA LESZCZYŃSKA</v>
      </c>
      <c r="J103" s="225">
        <f ca="1">IF(DATEDIF([2]Arkusz1!S107,TODAY(),"Y")&gt;21,0,DATEDIF([2]Arkusz1!S107,TODAY(),"Y"))</f>
        <v>7</v>
      </c>
      <c r="K103" s="223" t="str">
        <f>[2]Arkusz1!T107</f>
        <v>Podstawowa</v>
      </c>
      <c r="L103" s="225">
        <f>[2]Arkusz1!U107</f>
        <v>1</v>
      </c>
      <c r="M103" s="223" t="str">
        <f>[2]Arkusz1!P107</f>
        <v>Język angielski</v>
      </c>
      <c r="N103" s="223">
        <f>[2]Arkusz1!Q107</f>
        <v>0</v>
      </c>
      <c r="O103" s="223" t="str">
        <f>[2]Arkusz1!V107</f>
        <v>Nie</v>
      </c>
      <c r="P103" s="223">
        <f t="shared" si="2"/>
        <v>1</v>
      </c>
      <c r="Q103" s="223">
        <f>[2]Arkusz1!Y107</f>
        <v>0</v>
      </c>
      <c r="R103" s="223" t="s">
        <v>64</v>
      </c>
      <c r="S103" s="223" t="s">
        <v>64</v>
      </c>
      <c r="T103" s="223">
        <f>[2]Arkusz1!AA107</f>
        <v>15</v>
      </c>
      <c r="U103" s="223" t="str">
        <f>IF([2]Arkusz1!O107=[2]Arkusz1!$O$7,"Z",IF([2]Arkusz1!O107=[2]Arkusz1!$O$15,"Ix3",IF([2]Arkusz1!O107=[2]Arkusz1!$O$20,"Ix1","Ix2")))</f>
        <v>Ix2</v>
      </c>
      <c r="V103" s="223">
        <f>[2]Arkusz1!AM107</f>
        <v>64</v>
      </c>
      <c r="W103" s="220">
        <f>[2]Arkusz1!AB107</f>
        <v>45901</v>
      </c>
      <c r="X103" s="226" t="str">
        <f>_xlfn.TEXTBEFORE([2]Arkusz1!AC107," (")</f>
        <v>maj 2026</v>
      </c>
      <c r="Y103" s="223">
        <v>0</v>
      </c>
      <c r="Z103" s="223">
        <v>0</v>
      </c>
      <c r="AA103" s="223">
        <v>0</v>
      </c>
      <c r="AB103" s="223">
        <v>0</v>
      </c>
      <c r="AC103" s="223">
        <v>0</v>
      </c>
      <c r="AD103" s="223">
        <v>0</v>
      </c>
      <c r="AE103" s="223">
        <v>0</v>
      </c>
      <c r="AI103" s="4" t="s">
        <v>592</v>
      </c>
      <c r="AJ103" s="4" t="s">
        <v>248</v>
      </c>
      <c r="AK103" s="4" t="s">
        <v>500</v>
      </c>
      <c r="AL103" s="4">
        <v>7220803648</v>
      </c>
      <c r="AM103" s="4">
        <v>48669352866</v>
      </c>
      <c r="AN103" s="4" t="s">
        <v>593</v>
      </c>
      <c r="AP103" s="4">
        <f>[1]Hist!$X113</f>
        <v>0</v>
      </c>
    </row>
    <row r="104" spans="1:42" x14ac:dyDescent="0.2">
      <c r="A104" s="4">
        <v>103</v>
      </c>
      <c r="B104" s="215">
        <f>[2]Arkusz1!B108</f>
        <v>45901.728020833332</v>
      </c>
      <c r="C104" s="44" t="str">
        <f>_xlfn.CONCAT([2]Arkusz1!G108," ",[2]Arkusz1!H108)</f>
        <v>Katarzyna Tasarz</v>
      </c>
      <c r="D104" s="4" t="s">
        <v>248</v>
      </c>
      <c r="E104" s="4" t="s">
        <v>594</v>
      </c>
      <c r="F104" s="218">
        <v>81050107602</v>
      </c>
      <c r="G104" s="4">
        <f>[2]Arkusz1!I108</f>
        <v>48695306035</v>
      </c>
      <c r="H104" s="4" t="str">
        <f>[2]Arkusz1!J108</f>
        <v>kasiatasarz32@gmail.com</v>
      </c>
      <c r="I104" s="213" t="str">
        <f>_xlfn.CONCAT([2]Arkusz1!C108," ",[2]Arkusz1!D108)</f>
        <v>Marcel Anflik</v>
      </c>
      <c r="J104" s="216">
        <f ca="1">IF(DATEDIF([2]Arkusz1!S108,TODAY(),"Y")&gt;21,0,DATEDIF([2]Arkusz1!S108,TODAY(),"Y"))</f>
        <v>16</v>
      </c>
      <c r="K104" s="4" t="str">
        <f>[2]Arkusz1!T108</f>
        <v>Średnia - technikum</v>
      </c>
      <c r="L104" s="216">
        <f>[2]Arkusz1!U108</f>
        <v>2</v>
      </c>
      <c r="M104" s="4" t="str">
        <f>[2]Arkusz1!P108</f>
        <v>Język angielski</v>
      </c>
      <c r="N104" s="4">
        <f>[2]Arkusz1!Q108</f>
        <v>0</v>
      </c>
      <c r="O104" s="4" t="str">
        <f>[2]Arkusz1!V108</f>
        <v>Tak (lub kolejny członek rodziny)</v>
      </c>
      <c r="P104" s="4">
        <f t="shared" si="2"/>
        <v>1</v>
      </c>
      <c r="Q104" s="4" t="str">
        <f>[2]Arkusz1!Y108</f>
        <v>028/2025</v>
      </c>
      <c r="R104" s="4" t="s">
        <v>64</v>
      </c>
      <c r="S104" s="4" t="s">
        <v>64</v>
      </c>
      <c r="T104" s="4">
        <f>[2]Arkusz1!AA108</f>
        <v>15</v>
      </c>
      <c r="U104" s="4" t="str">
        <f>IF([2]Arkusz1!O108=[2]Arkusz1!$O$7,"Z",IF([2]Arkusz1!O108=[2]Arkusz1!$O$15,"Ix3",IF([2]Arkusz1!O108=[2]Arkusz1!$O$20,"Ix1","Ix2")))</f>
        <v>Z</v>
      </c>
      <c r="V104" s="4">
        <f>[2]Arkusz1!AM108</f>
        <v>64</v>
      </c>
      <c r="W104" s="220">
        <f>[2]Arkusz1!AB108</f>
        <v>45901</v>
      </c>
      <c r="X104" s="220">
        <f>[2]Arkusz1!AC108</f>
        <v>46174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I104" s="4" t="s">
        <v>595</v>
      </c>
      <c r="AJ104" s="4" t="s">
        <v>360</v>
      </c>
      <c r="AK104" s="4" t="s">
        <v>596</v>
      </c>
      <c r="AL104" s="4">
        <v>81050107602</v>
      </c>
      <c r="AM104" s="4">
        <v>48695306035</v>
      </c>
      <c r="AN104" s="4" t="s">
        <v>597</v>
      </c>
      <c r="AP104" s="4">
        <f>[1]Hist!$X114</f>
        <v>0</v>
      </c>
    </row>
    <row r="105" spans="1:42" x14ac:dyDescent="0.2">
      <c r="A105" s="4">
        <v>104</v>
      </c>
      <c r="B105" s="215">
        <f>[2]Arkusz1!B109</f>
        <v>45902.894016203703</v>
      </c>
      <c r="C105" s="44" t="str">
        <f>_xlfn.CONCAT([2]Arkusz1!G109," ",[2]Arkusz1!H109)</f>
        <v>Anna Warmińska</v>
      </c>
      <c r="D105" s="4" t="s">
        <v>392</v>
      </c>
      <c r="E105" s="4" t="s">
        <v>598</v>
      </c>
      <c r="F105" s="218">
        <v>85121310302</v>
      </c>
      <c r="G105" s="4">
        <f>[2]Arkusz1!I109</f>
        <v>48503054169</v>
      </c>
      <c r="H105" s="4" t="str">
        <f>[2]Arkusz1!J109</f>
        <v>aniaanna1@o2.pl</v>
      </c>
      <c r="I105" s="213" t="str">
        <f>_xlfn.CONCAT([2]Arkusz1!C109," ",[2]Arkusz1!D109)</f>
        <v>Zuzanna Warmińska</v>
      </c>
      <c r="J105" s="216">
        <f ca="1">IF(DATEDIF([2]Arkusz1!S109,TODAY(),"Y")&gt;21,0,DATEDIF([2]Arkusz1!S109,TODAY(),"Y"))</f>
        <v>10</v>
      </c>
      <c r="K105" s="4" t="str">
        <f>[2]Arkusz1!T109</f>
        <v>Podstawowa</v>
      </c>
      <c r="L105" s="216">
        <f>[2]Arkusz1!U109</f>
        <v>3</v>
      </c>
      <c r="M105" s="4" t="str">
        <f>[2]Arkusz1!P109</f>
        <v>Język angielski</v>
      </c>
      <c r="N105" s="4">
        <f>[2]Arkusz1!Q109</f>
        <v>0</v>
      </c>
      <c r="O105" s="4" t="str">
        <f>[2]Arkusz1!V109</f>
        <v>Tak (lub kolejny członek rodziny)</v>
      </c>
      <c r="P105" s="4">
        <f t="shared" si="2"/>
        <v>2</v>
      </c>
      <c r="Q105" s="4" t="str">
        <f>[2]Arkusz1!Y109</f>
        <v>042/2025</v>
      </c>
      <c r="R105" s="4" t="s">
        <v>64</v>
      </c>
      <c r="S105" s="4" t="s">
        <v>64</v>
      </c>
      <c r="T105" s="4">
        <f>[2]Arkusz1!AA109</f>
        <v>5</v>
      </c>
      <c r="U105" s="4" t="str">
        <f>IF([2]Arkusz1!O109=[2]Arkusz1!$O$7,"Z",IF([2]Arkusz1!O109=[2]Arkusz1!$O$15,"Ix3",IF([2]Arkusz1!O109=[2]Arkusz1!$O$20,"Ix1","Ix2")))</f>
        <v>Z</v>
      </c>
      <c r="V105" s="4">
        <f>[2]Arkusz1!AM109</f>
        <v>64</v>
      </c>
      <c r="W105" s="227">
        <f>[2]Arkusz1!AB109</f>
        <v>45931</v>
      </c>
      <c r="X105" s="220" t="str">
        <f>_xlfn.TEXTBEFORE([2]Arkusz1!AC109," (")</f>
        <v>maj 2026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I105" s="4" t="s">
        <v>408</v>
      </c>
      <c r="AJ105" s="4" t="s">
        <v>392</v>
      </c>
      <c r="AK105" s="4" t="s">
        <v>409</v>
      </c>
      <c r="AL105" s="4">
        <v>85121310302</v>
      </c>
      <c r="AM105" s="4">
        <v>48503054169</v>
      </c>
      <c r="AN105" s="4" t="s">
        <v>411</v>
      </c>
      <c r="AP105" s="4">
        <f>[1]Hist!$X115</f>
        <v>0</v>
      </c>
    </row>
    <row r="106" spans="1:42" x14ac:dyDescent="0.2">
      <c r="A106" s="4">
        <v>105</v>
      </c>
      <c r="B106" s="215">
        <f>[2]Arkusz1!B110</f>
        <v>45903.556712962964</v>
      </c>
      <c r="C106" s="44" t="str">
        <f>_xlfn.CONCAT([2]Arkusz1!G110," ",[2]Arkusz1!H110)</f>
        <v>Tomasz Kaczyński</v>
      </c>
      <c r="D106" s="4" t="s">
        <v>248</v>
      </c>
      <c r="E106" s="4" t="s">
        <v>599</v>
      </c>
      <c r="F106" s="218">
        <v>80092608559</v>
      </c>
      <c r="G106" s="4">
        <f>[2]Arkusz1!I110</f>
        <v>48664304727</v>
      </c>
      <c r="H106" s="4" t="str">
        <f>[2]Arkusz1!J110</f>
        <v>syla117@op.pl</v>
      </c>
      <c r="I106" s="213" t="str">
        <f>_xlfn.CONCAT([2]Arkusz1!C110," ",[2]Arkusz1!D110)</f>
        <v>Oliwia Kaczyńska</v>
      </c>
      <c r="J106" s="216">
        <f ca="1">IF(DATEDIF([2]Arkusz1!S110,TODAY(),"Y")&gt;21,0,DATEDIF([2]Arkusz1!S110,TODAY(),"Y"))</f>
        <v>18</v>
      </c>
      <c r="K106" s="4" t="str">
        <f>[2]Arkusz1!T110</f>
        <v>Średnia - liceum</v>
      </c>
      <c r="L106" s="216">
        <f>[2]Arkusz1!U110</f>
        <v>4</v>
      </c>
      <c r="M106" s="4" t="str">
        <f>[2]Arkusz1!P110</f>
        <v>Matematyka</v>
      </c>
      <c r="N106" s="4" t="str">
        <f>[2]Arkusz1!Q110</f>
        <v>Maturalny</v>
      </c>
      <c r="O106" s="4" t="str">
        <f>[2]Arkusz1!V110</f>
        <v>Nie</v>
      </c>
      <c r="P106" s="4">
        <f t="shared" si="2"/>
        <v>1</v>
      </c>
      <c r="Q106" s="4">
        <f>[2]Arkusz1!Y110</f>
        <v>0</v>
      </c>
      <c r="R106" s="4" t="s">
        <v>64</v>
      </c>
      <c r="S106" s="4" t="s">
        <v>64</v>
      </c>
      <c r="T106" s="4">
        <f>[2]Arkusz1!AA110</f>
        <v>25</v>
      </c>
      <c r="U106" s="4" t="str">
        <f>IF([2]Arkusz1!O110=[2]Arkusz1!$O$7,"Z",IF([2]Arkusz1!O110=[2]Arkusz1!$O$15,"Ix3",IF([2]Arkusz1!O110=[2]Arkusz1!$O$20,"Ix1","Ix2")))</f>
        <v>Ix3</v>
      </c>
      <c r="V106" s="4">
        <f>[2]Arkusz1!AM110</f>
        <v>33</v>
      </c>
      <c r="W106" s="220">
        <f>[2]Arkusz1!AB110</f>
        <v>45901</v>
      </c>
      <c r="X106" s="220">
        <f>[2]Arkusz1!AC110</f>
        <v>46113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I106" s="4" t="s">
        <v>600</v>
      </c>
      <c r="AJ106" s="4" t="s">
        <v>258</v>
      </c>
      <c r="AK106" s="4" t="s">
        <v>249</v>
      </c>
      <c r="AL106" s="4">
        <v>86072205480</v>
      </c>
      <c r="AM106" s="4">
        <v>48728917948</v>
      </c>
      <c r="AN106" s="4" t="s">
        <v>601</v>
      </c>
      <c r="AP106" s="4">
        <f>[1]Hist!$X116</f>
        <v>0</v>
      </c>
    </row>
    <row r="107" spans="1:42" x14ac:dyDescent="0.2">
      <c r="A107" s="4">
        <v>106</v>
      </c>
      <c r="B107" s="215">
        <f>[2]Arkusz1!B111</f>
        <v>45903.886805555558</v>
      </c>
      <c r="C107" s="44" t="str">
        <f>_xlfn.CONCAT([2]Arkusz1!G111," ",[2]Arkusz1!H111)</f>
        <v>Edyta Lewandowska</v>
      </c>
      <c r="D107" s="4" t="s">
        <v>602</v>
      </c>
      <c r="E107" s="4" t="s">
        <v>603</v>
      </c>
      <c r="F107" s="218">
        <v>86093007885</v>
      </c>
      <c r="G107" s="4">
        <f>[2]Arkusz1!I111</f>
        <v>48785589007</v>
      </c>
      <c r="H107" s="4" t="str">
        <f>[2]Arkusz1!J111</f>
        <v>lewandowskae48@gmail.com</v>
      </c>
      <c r="I107" s="213" t="str">
        <f>_xlfn.CONCAT([2]Arkusz1!C111," ",[2]Arkusz1!D111)</f>
        <v>Maja Żmudzińska</v>
      </c>
      <c r="J107" s="216">
        <f ca="1">IF(DATEDIF([2]Arkusz1!S111,TODAY(),"Y")&gt;21,0,DATEDIF([2]Arkusz1!S111,TODAY(),"Y"))</f>
        <v>16</v>
      </c>
      <c r="K107" s="4" t="str">
        <f>[2]Arkusz1!T111</f>
        <v>Średnia - liceum</v>
      </c>
      <c r="L107" s="216">
        <f>[2]Arkusz1!U111</f>
        <v>2</v>
      </c>
      <c r="M107" s="4" t="str">
        <f>[2]Arkusz1!P111</f>
        <v>Język angielski</v>
      </c>
      <c r="N107" s="4">
        <f>[2]Arkusz1!Q111</f>
        <v>0</v>
      </c>
      <c r="O107" s="4" t="str">
        <f>[2]Arkusz1!V111</f>
        <v>Nie</v>
      </c>
      <c r="P107" s="4">
        <f t="shared" si="2"/>
        <v>1</v>
      </c>
      <c r="Q107" s="4">
        <f>[2]Arkusz1!Y111</f>
        <v>0</v>
      </c>
      <c r="R107" s="4" t="s">
        <v>64</v>
      </c>
      <c r="S107" s="4" t="s">
        <v>64</v>
      </c>
      <c r="T107" s="4">
        <f>[2]Arkusz1!AA111</f>
        <v>5</v>
      </c>
      <c r="U107" s="4" t="str">
        <f>IF([2]Arkusz1!O111=[2]Arkusz1!$O$7,"Z",IF([2]Arkusz1!O111=[2]Arkusz1!$O$15,"Ix3",IF([2]Arkusz1!O111=[2]Arkusz1!$O$20,"Ix1","Ix2")))</f>
        <v>Z</v>
      </c>
      <c r="V107" s="4">
        <f>[2]Arkusz1!AM111</f>
        <v>64</v>
      </c>
      <c r="W107" s="227">
        <f>[2]Arkusz1!AB111</f>
        <v>45931</v>
      </c>
      <c r="X107" s="220">
        <f>[2]Arkusz1!AC111</f>
        <v>46174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I107" s="4" t="s">
        <v>604</v>
      </c>
      <c r="AJ107" s="4" t="s">
        <v>485</v>
      </c>
      <c r="AK107" s="4" t="s">
        <v>486</v>
      </c>
      <c r="AL107" s="4">
        <v>84041314346</v>
      </c>
      <c r="AM107" s="4">
        <v>48609451823</v>
      </c>
      <c r="AN107" s="4" t="s">
        <v>605</v>
      </c>
      <c r="AP107" s="4">
        <f>[1]Hist!$X117</f>
        <v>0</v>
      </c>
    </row>
    <row r="108" spans="1:42" x14ac:dyDescent="0.2">
      <c r="A108" s="4">
        <v>107</v>
      </c>
      <c r="B108" s="215">
        <f>[2]Arkusz1!B112</f>
        <v>45904.697627314818</v>
      </c>
      <c r="C108" s="44" t="str">
        <f>_xlfn.CONCAT([2]Arkusz1!G112," ",[2]Arkusz1!H112)</f>
        <v>Ewa Kacperska</v>
      </c>
      <c r="D108" s="4" t="s">
        <v>248</v>
      </c>
      <c r="E108" s="4" t="s">
        <v>606</v>
      </c>
      <c r="F108" s="218">
        <v>83103110844</v>
      </c>
      <c r="G108" s="4">
        <f>[2]Arkusz1!I112</f>
        <v>48693138318</v>
      </c>
      <c r="H108" s="4" t="str">
        <f>[2]Arkusz1!J112</f>
        <v>paintbreak@wp.pl</v>
      </c>
      <c r="I108" s="213" t="str">
        <f>_xlfn.CONCAT([2]Arkusz1!C112," ",[2]Arkusz1!D112)</f>
        <v>Ewa Kacperska</v>
      </c>
      <c r="J108" s="216">
        <f ca="1">IF(DATEDIF([2]Arkusz1!S112,TODAY(),"Y")&gt;21,0,DATEDIF([2]Arkusz1!S112,TODAY(),"Y"))</f>
        <v>0</v>
      </c>
      <c r="K108" s="4">
        <f>[2]Arkusz1!T112</f>
        <v>0</v>
      </c>
      <c r="L108" s="216">
        <f>[2]Arkusz1!U112</f>
        <v>0</v>
      </c>
      <c r="M108" s="4" t="str">
        <f>[2]Arkusz1!P112</f>
        <v>Język angielski</v>
      </c>
      <c r="N108" s="4">
        <f>[2]Arkusz1!Q112</f>
        <v>0</v>
      </c>
      <c r="O108" s="4" t="str">
        <f>[2]Arkusz1!V112</f>
        <v>Nie</v>
      </c>
      <c r="P108" s="4">
        <f t="shared" si="2"/>
        <v>1</v>
      </c>
      <c r="Q108" s="4">
        <f>[2]Arkusz1!Y112</f>
        <v>0</v>
      </c>
      <c r="R108" s="4" t="s">
        <v>64</v>
      </c>
      <c r="S108" s="4" t="s">
        <v>64</v>
      </c>
      <c r="T108" s="4">
        <f>[2]Arkusz1!AA112</f>
        <v>15</v>
      </c>
      <c r="U108" s="4" t="str">
        <f>IF([2]Arkusz1!O112=[2]Arkusz1!$O$7,"Z",IF([2]Arkusz1!O112=[2]Arkusz1!$O$15,"Ix3",IF([2]Arkusz1!O112=[2]Arkusz1!$O$20,"Ix1","Ix2")))</f>
        <v>Ix2</v>
      </c>
      <c r="V108" s="4">
        <f>[2]Arkusz1!AM112</f>
        <v>33</v>
      </c>
      <c r="W108" s="227">
        <f>[2]Arkusz1!AB112</f>
        <v>45931</v>
      </c>
      <c r="X108" s="220">
        <f>[2]Arkusz1!AC112</f>
        <v>46235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I108" s="4" t="s">
        <v>546</v>
      </c>
      <c r="AJ108" s="4" t="s">
        <v>307</v>
      </c>
      <c r="AK108" s="4" t="s">
        <v>547</v>
      </c>
      <c r="AL108" s="4">
        <v>14210215037</v>
      </c>
      <c r="AM108" s="4">
        <v>48693138318</v>
      </c>
      <c r="AN108" s="4">
        <v>0</v>
      </c>
      <c r="AP108" s="4">
        <f>[1]Hist!$X118</f>
        <v>0</v>
      </c>
    </row>
    <row r="109" spans="1:42" x14ac:dyDescent="0.2">
      <c r="A109" s="4">
        <v>108</v>
      </c>
      <c r="B109" s="215">
        <f>[2]Arkusz1!B113</f>
        <v>45905.312476851854</v>
      </c>
      <c r="C109" s="44" t="str">
        <f>_xlfn.CONCAT([2]Arkusz1!G113," ",[2]Arkusz1!H113)</f>
        <v>Anna Tykarska</v>
      </c>
      <c r="D109" s="4" t="s">
        <v>351</v>
      </c>
      <c r="E109" s="4" t="s">
        <v>607</v>
      </c>
      <c r="F109" s="218">
        <v>85101512368</v>
      </c>
      <c r="G109" s="4">
        <f>[2]Arkusz1!I113</f>
        <v>48604210426</v>
      </c>
      <c r="H109" s="4" t="str">
        <f>[2]Arkusz1!J113</f>
        <v>A.niesiobedzka@gmail.com</v>
      </c>
      <c r="I109" s="213" t="str">
        <f>_xlfn.CONCAT([2]Arkusz1!C113," ",[2]Arkusz1!D113)</f>
        <v>Wiktor Tykarski</v>
      </c>
      <c r="J109" s="216">
        <f ca="1">IF(DATEDIF([2]Arkusz1!S113,TODAY(),"Y")&gt;21,0,DATEDIF([2]Arkusz1!S113,TODAY(),"Y"))</f>
        <v>12</v>
      </c>
      <c r="K109" s="4" t="str">
        <f>[2]Arkusz1!T113</f>
        <v>Podstawowa</v>
      </c>
      <c r="L109" s="216">
        <f>[2]Arkusz1!U113</f>
        <v>6</v>
      </c>
      <c r="M109" s="4" t="str">
        <f>[2]Arkusz1!P113</f>
        <v>Język angielski</v>
      </c>
      <c r="N109" s="4">
        <f>[2]Arkusz1!Q113</f>
        <v>0</v>
      </c>
      <c r="O109" s="4" t="str">
        <f>[2]Arkusz1!V113</f>
        <v>Tak (lub kolejny członek rodziny)</v>
      </c>
      <c r="P109" s="4">
        <f t="shared" si="2"/>
        <v>1</v>
      </c>
      <c r="Q109" s="4">
        <f>[2]Arkusz1!Y113</f>
        <v>0</v>
      </c>
      <c r="R109" s="4" t="s">
        <v>64</v>
      </c>
      <c r="S109" s="4" t="s">
        <v>64</v>
      </c>
      <c r="T109" s="4">
        <f>[2]Arkusz1!AA113</f>
        <v>15</v>
      </c>
      <c r="U109" s="4" t="str">
        <f>IF([2]Arkusz1!O113=[2]Arkusz1!$O$7,"Z",IF([2]Arkusz1!O113=[2]Arkusz1!$O$15,"Ix3",IF([2]Arkusz1!O113=[2]Arkusz1!$O$20,"Ix1","Ix2")))</f>
        <v>Ix1</v>
      </c>
      <c r="V109" s="4">
        <f>[2]Arkusz1!AM113</f>
        <v>33</v>
      </c>
      <c r="W109" s="220">
        <f>[2]Arkusz1!AB113</f>
        <v>45901</v>
      </c>
      <c r="X109" s="220" t="str">
        <f>_xlfn.TEXTBEFORE([2]Arkusz1!AC113," (")</f>
        <v>maj 2026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I109" s="4" t="s">
        <v>608</v>
      </c>
      <c r="AJ109" s="4" t="s">
        <v>609</v>
      </c>
      <c r="AK109" s="4" t="s">
        <v>610</v>
      </c>
      <c r="AL109" s="4">
        <v>851015123</v>
      </c>
      <c r="AM109" s="4">
        <v>48604210426</v>
      </c>
      <c r="AN109" s="4" t="s">
        <v>611</v>
      </c>
      <c r="AP109" s="4">
        <f>[1]Hist!$X119</f>
        <v>0</v>
      </c>
    </row>
    <row r="110" spans="1:42" x14ac:dyDescent="0.2">
      <c r="A110" s="4">
        <v>109</v>
      </c>
      <c r="B110" s="215">
        <f>[2]Arkusz1!B114</f>
        <v>45905.687824074077</v>
      </c>
      <c r="C110" s="44" t="str">
        <f>_xlfn.CONCAT([2]Arkusz1!G114," ",[2]Arkusz1!H114)</f>
        <v>Katarzyna Tatarek</v>
      </c>
      <c r="D110" s="4" t="s">
        <v>248</v>
      </c>
      <c r="E110" s="4" t="s">
        <v>612</v>
      </c>
      <c r="F110" s="218">
        <v>81111915645</v>
      </c>
      <c r="G110" s="4">
        <f>[2]Arkusz1!I114</f>
        <v>48607886623</v>
      </c>
      <c r="H110" s="4" t="str">
        <f>[2]Arkusz1!J114</f>
        <v>kasiatatarek@o2.pl</v>
      </c>
      <c r="I110" s="213" t="str">
        <f>_xlfn.CONCAT([2]Arkusz1!C114," ",[2]Arkusz1!D114)</f>
        <v>Natalia Tatarek</v>
      </c>
      <c r="J110" s="216">
        <f ca="1">IF(DATEDIF([2]Arkusz1!S114,TODAY(),"Y")&gt;21,0,DATEDIF([2]Arkusz1!S114,TODAY(),"Y"))</f>
        <v>11</v>
      </c>
      <c r="K110" s="4" t="str">
        <f>[2]Arkusz1!T114</f>
        <v>Podstawowa</v>
      </c>
      <c r="L110" s="216">
        <f>[2]Arkusz1!U114</f>
        <v>5</v>
      </c>
      <c r="M110" s="4" t="str">
        <f>[2]Arkusz1!P114</f>
        <v>Język angielski</v>
      </c>
      <c r="N110" s="4">
        <f>[2]Arkusz1!Q114</f>
        <v>0</v>
      </c>
      <c r="O110" s="4" t="str">
        <f>[2]Arkusz1!V114</f>
        <v>Nie</v>
      </c>
      <c r="P110" s="4">
        <f t="shared" si="2"/>
        <v>1</v>
      </c>
      <c r="Q110" s="4">
        <f>[2]Arkusz1!Y114</f>
        <v>0</v>
      </c>
      <c r="R110" s="4" t="s">
        <v>64</v>
      </c>
      <c r="S110" s="4" t="s">
        <v>64</v>
      </c>
      <c r="T110" s="4">
        <f>[2]Arkusz1!AA114</f>
        <v>5</v>
      </c>
      <c r="U110" s="4" t="str">
        <f>IF([2]Arkusz1!O114=[2]Arkusz1!$O$7,"Z",IF([2]Arkusz1!O114=[2]Arkusz1!$O$15,"Ix3",IF([2]Arkusz1!O114=[2]Arkusz1!$O$20,"Ix1","Ix2")))</f>
        <v>Ix3</v>
      </c>
      <c r="V110" s="4">
        <f>[2]Arkusz1!AM114</f>
        <v>33</v>
      </c>
      <c r="W110" s="220">
        <f>[2]Arkusz1!AB114</f>
        <v>45901</v>
      </c>
      <c r="X110" s="220" t="str">
        <f>_xlfn.TEXTBEFORE([2]Arkusz1!AC114," (")</f>
        <v>maj 2026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I110" s="4" t="s">
        <v>613</v>
      </c>
      <c r="AJ110" s="4" t="s">
        <v>614</v>
      </c>
      <c r="AK110" s="4" t="s">
        <v>615</v>
      </c>
      <c r="AL110" s="4">
        <v>82101908184</v>
      </c>
      <c r="AM110" s="4">
        <v>48607886623</v>
      </c>
      <c r="AN110" s="4" t="s">
        <v>616</v>
      </c>
      <c r="AP110" s="4">
        <f>[1]Hist!$X120</f>
        <v>0</v>
      </c>
    </row>
    <row r="111" spans="1:42" x14ac:dyDescent="0.2">
      <c r="A111" s="4">
        <v>110</v>
      </c>
      <c r="B111" s="215">
        <f>[2]Arkusz1!B115</f>
        <v>45907.640729166669</v>
      </c>
      <c r="C111" s="44" t="str">
        <f>_xlfn.CONCAT([2]Arkusz1!G115," ",[2]Arkusz1!H115)</f>
        <v>Marta Karbowska</v>
      </c>
      <c r="D111" s="4" t="s">
        <v>248</v>
      </c>
      <c r="E111" s="4" t="s">
        <v>617</v>
      </c>
      <c r="F111" s="218">
        <v>81082808382</v>
      </c>
      <c r="G111" s="4">
        <f>[2]Arkusz1!I115</f>
        <v>48691494955</v>
      </c>
      <c r="H111" s="4" t="str">
        <f>[2]Arkusz1!J115</f>
        <v>marta.karbowska@interia.pl</v>
      </c>
      <c r="I111" s="213" t="str">
        <f>_xlfn.CONCAT([2]Arkusz1!C115," ",[2]Arkusz1!D115)</f>
        <v>Dominika Karbowska</v>
      </c>
      <c r="J111" s="216">
        <f ca="1">IF(DATEDIF([2]Arkusz1!S115,TODAY(),"Y")&gt;21,0,DATEDIF([2]Arkusz1!S115,TODAY(),"Y"))</f>
        <v>18</v>
      </c>
      <c r="K111" s="4" t="str">
        <f>[2]Arkusz1!T115</f>
        <v>Średnia - liceum</v>
      </c>
      <c r="L111" s="216">
        <f>[2]Arkusz1!U115</f>
        <v>4</v>
      </c>
      <c r="M111" s="4" t="str">
        <f>[2]Arkusz1!P115</f>
        <v>Język angielski</v>
      </c>
      <c r="N111" s="4" t="str">
        <f>[2]Arkusz1!Q115</f>
        <v>Maturalny</v>
      </c>
      <c r="O111" s="4" t="str">
        <f>[2]Arkusz1!V115</f>
        <v>Tak (lub kolejny członek rodziny)</v>
      </c>
      <c r="P111" s="4">
        <f t="shared" si="2"/>
        <v>1</v>
      </c>
      <c r="Q111" s="4">
        <f>[2]Arkusz1!Y115</f>
        <v>0</v>
      </c>
      <c r="R111" s="4" t="s">
        <v>64</v>
      </c>
      <c r="S111" s="4" t="s">
        <v>64</v>
      </c>
      <c r="T111" s="4">
        <f>[2]Arkusz1!AA115</f>
        <v>15</v>
      </c>
      <c r="U111" s="4" t="str">
        <f>IF([2]Arkusz1!O115=[2]Arkusz1!$O$7,"Z",IF([2]Arkusz1!O115=[2]Arkusz1!$O$15,"Ix3",IF([2]Arkusz1!O115=[2]Arkusz1!$O$20,"Ix1","Ix2")))</f>
        <v>Z</v>
      </c>
      <c r="V111" s="4">
        <f>[2]Arkusz1!AM115</f>
        <v>58</v>
      </c>
      <c r="W111" s="220">
        <f>[2]Arkusz1!AB115</f>
        <v>45901</v>
      </c>
      <c r="X111" s="220">
        <f>[2]Arkusz1!AC115</f>
        <v>46113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I111" s="4" t="s">
        <v>618</v>
      </c>
      <c r="AJ111" s="4" t="s">
        <v>248</v>
      </c>
      <c r="AK111" s="4" t="s">
        <v>619</v>
      </c>
      <c r="AL111" s="4">
        <v>81082808382</v>
      </c>
      <c r="AM111" s="4">
        <v>48691494955</v>
      </c>
      <c r="AN111" s="4" t="s">
        <v>620</v>
      </c>
      <c r="AP111" s="4">
        <f>[1]Hist!$X121</f>
        <v>0</v>
      </c>
    </row>
    <row r="112" spans="1:42" x14ac:dyDescent="0.2">
      <c r="A112" s="4">
        <v>111</v>
      </c>
      <c r="B112" s="215">
        <f>[2]Arkusz1!B116</f>
        <v>45908.433877314812</v>
      </c>
      <c r="C112" s="44" t="str">
        <f>_xlfn.CONCAT([2]Arkusz1!G116," ",[2]Arkusz1!H116)</f>
        <v>Alina Hetnar-Wójcicka</v>
      </c>
      <c r="D112" s="4" t="s">
        <v>248</v>
      </c>
      <c r="E112" s="4" t="s">
        <v>621</v>
      </c>
      <c r="F112" s="218">
        <v>78122412845</v>
      </c>
      <c r="G112" s="4">
        <f>[2]Arkusz1!I116</f>
        <v>48669231289</v>
      </c>
      <c r="H112" s="4" t="str">
        <f>[2]Arkusz1!J116</f>
        <v>hetnarka@tlen.pl</v>
      </c>
      <c r="I112" s="213" t="str">
        <f>_xlfn.CONCAT([2]Arkusz1!C116," ",[2]Arkusz1!D116)</f>
        <v>Mateusz Hetnar-Wójcicki</v>
      </c>
      <c r="J112" s="216">
        <f ca="1">IF(DATEDIF([2]Arkusz1!S116,TODAY(),"Y")&gt;21,0,DATEDIF([2]Arkusz1!S116,TODAY(),"Y"))</f>
        <v>14</v>
      </c>
      <c r="K112" s="4" t="str">
        <f>[2]Arkusz1!T116</f>
        <v>Średnia - technikum</v>
      </c>
      <c r="L112" s="216">
        <f>[2]Arkusz1!U116</f>
        <v>1</v>
      </c>
      <c r="M112" s="4" t="str">
        <f>[2]Arkusz1!P116</f>
        <v>Matematyka</v>
      </c>
      <c r="N112" s="4">
        <f>[2]Arkusz1!Q116</f>
        <v>0</v>
      </c>
      <c r="O112" s="4" t="str">
        <f>[2]Arkusz1!V116</f>
        <v>Tak (lub kolejny członek rodziny)</v>
      </c>
      <c r="P112" s="4">
        <f t="shared" si="2"/>
        <v>2</v>
      </c>
      <c r="Q112" s="4">
        <f>[2]Arkusz1!Y116</f>
        <v>0</v>
      </c>
      <c r="R112" s="4" t="s">
        <v>64</v>
      </c>
      <c r="S112" s="4" t="s">
        <v>64</v>
      </c>
      <c r="T112" s="4">
        <f>[2]Arkusz1!AA116</f>
        <v>15</v>
      </c>
      <c r="U112" s="4" t="str">
        <f>IF([2]Arkusz1!O116=[2]Arkusz1!$O$7,"Z",IF([2]Arkusz1!O116=[2]Arkusz1!$O$15,"Ix3",IF([2]Arkusz1!O116=[2]Arkusz1!$O$20,"Ix1","Ix2")))</f>
        <v>Z</v>
      </c>
      <c r="V112" s="4">
        <f>[2]Arkusz1!AM116</f>
        <v>64</v>
      </c>
      <c r="W112" s="220">
        <f>[2]Arkusz1!AB116</f>
        <v>45901</v>
      </c>
      <c r="X112" s="220" t="str">
        <f>_xlfn.TEXTBEFORE([2]Arkusz1!AC116," (")</f>
        <v>maj 2026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I112" s="4" t="s">
        <v>490</v>
      </c>
      <c r="AJ112" s="4" t="s">
        <v>258</v>
      </c>
      <c r="AK112" s="4" t="s">
        <v>489</v>
      </c>
      <c r="AL112" s="4">
        <v>78122412845</v>
      </c>
      <c r="AM112" s="4">
        <v>48669231289</v>
      </c>
      <c r="AN112" s="4" t="s">
        <v>492</v>
      </c>
      <c r="AP112" s="4">
        <f>[1]Hist!$X122</f>
        <v>0</v>
      </c>
    </row>
    <row r="113" spans="1:42" x14ac:dyDescent="0.2">
      <c r="A113" s="4">
        <v>112</v>
      </c>
      <c r="B113" s="215">
        <f>[2]Arkusz1!B117</f>
        <v>45908.644571759258</v>
      </c>
      <c r="C113" s="44" t="str">
        <f>_xlfn.CONCAT([2]Arkusz1!G117," ",[2]Arkusz1!H117)</f>
        <v>Joanna Dumkiewicz</v>
      </c>
      <c r="D113" s="4" t="s">
        <v>622</v>
      </c>
      <c r="E113" s="4" t="s">
        <v>623</v>
      </c>
      <c r="F113" s="218">
        <v>81060214587</v>
      </c>
      <c r="G113" s="4">
        <f>[2]Arkusz1!I117</f>
        <v>48602716135</v>
      </c>
      <c r="H113" s="4" t="str">
        <f>[2]Arkusz1!J117</f>
        <v>joanna624@op.pl</v>
      </c>
      <c r="I113" s="213" t="str">
        <f>_xlfn.CONCAT([2]Arkusz1!C117," ",[2]Arkusz1!D117)</f>
        <v>Weronika Dumkiewicz</v>
      </c>
      <c r="J113" s="216">
        <f ca="1">IF(DATEDIF([2]Arkusz1!S117,TODAY(),"Y")&gt;21,0,DATEDIF([2]Arkusz1!S117,TODAY(),"Y"))</f>
        <v>18</v>
      </c>
      <c r="K113" s="4" t="str">
        <f>[2]Arkusz1!T117</f>
        <v>Średnia - technikum</v>
      </c>
      <c r="L113" s="216">
        <f>[2]Arkusz1!U117</f>
        <v>4</v>
      </c>
      <c r="M113" s="4" t="str">
        <f>[2]Arkusz1!P117</f>
        <v>Język angielski</v>
      </c>
      <c r="N113" s="4" t="str">
        <f>[2]Arkusz1!Q117</f>
        <v>Maturalny</v>
      </c>
      <c r="O113" s="4" t="str">
        <f>[2]Arkusz1!V117</f>
        <v>Nie</v>
      </c>
      <c r="P113" s="4">
        <f t="shared" si="2"/>
        <v>1</v>
      </c>
      <c r="Q113" s="4">
        <f>[2]Arkusz1!Y117</f>
        <v>0</v>
      </c>
      <c r="R113" s="4" t="s">
        <v>64</v>
      </c>
      <c r="S113" s="4" t="s">
        <v>64</v>
      </c>
      <c r="T113" s="4">
        <f>[2]Arkusz1!AA117</f>
        <v>25</v>
      </c>
      <c r="U113" s="4" t="str">
        <f>IF([2]Arkusz1!O117=[2]Arkusz1!$O$7,"Z",IF([2]Arkusz1!O117=[2]Arkusz1!$O$15,"Ix3",IF([2]Arkusz1!O117=[2]Arkusz1!$O$20,"Ix1","Ix2")))</f>
        <v>Ix1</v>
      </c>
      <c r="V113" s="4">
        <f>[2]Arkusz1!AM117</f>
        <v>33</v>
      </c>
      <c r="W113" s="220">
        <f>[2]Arkusz1!AB117</f>
        <v>45901</v>
      </c>
      <c r="X113" s="220">
        <f>[2]Arkusz1!AC117</f>
        <v>46174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I113" s="4" t="s">
        <v>624</v>
      </c>
      <c r="AJ113" s="4" t="s">
        <v>248</v>
      </c>
      <c r="AK113" s="4" t="s">
        <v>625</v>
      </c>
      <c r="AL113" s="4">
        <v>82080614928</v>
      </c>
      <c r="AM113" s="4">
        <v>48665398320</v>
      </c>
      <c r="AN113" s="4" t="s">
        <v>626</v>
      </c>
      <c r="AP113" s="4">
        <f>[1]Hist!$X123</f>
        <v>0</v>
      </c>
    </row>
    <row r="114" spans="1:42" x14ac:dyDescent="0.2">
      <c r="A114" s="4">
        <v>113</v>
      </c>
      <c r="B114" s="215">
        <f>[2]Arkusz1!B118</f>
        <v>45909.396365740744</v>
      </c>
      <c r="C114" s="44" t="str">
        <f>_xlfn.CONCAT([2]Arkusz1!G118," ",[2]Arkusz1!H118)</f>
        <v>Magdalena Szcześniak</v>
      </c>
      <c r="D114" s="4" t="s">
        <v>248</v>
      </c>
      <c r="E114" s="4" t="s">
        <v>627</v>
      </c>
      <c r="F114" s="218">
        <v>79030711927</v>
      </c>
      <c r="G114" s="4">
        <f>[2]Arkusz1!I118</f>
        <v>48785048821</v>
      </c>
      <c r="H114" s="4" t="str">
        <f>[2]Arkusz1!J118</f>
        <v>magda-sep@wp.pl</v>
      </c>
      <c r="I114" s="213" t="str">
        <f>_xlfn.CONCAT([2]Arkusz1!C118," ",[2]Arkusz1!D118)</f>
        <v>Paulina Szcześniak</v>
      </c>
      <c r="J114" s="216">
        <f ca="1">IF(DATEDIF([2]Arkusz1!S118,TODAY(),"Y")&gt;21,0,DATEDIF([2]Arkusz1!S118,TODAY(),"Y"))</f>
        <v>15</v>
      </c>
      <c r="K114" s="4" t="str">
        <f>[2]Arkusz1!T118</f>
        <v>Podstawowa</v>
      </c>
      <c r="L114" s="216">
        <f>[2]Arkusz1!U118</f>
        <v>8</v>
      </c>
      <c r="M114" s="4" t="str">
        <f>[2]Arkusz1!P118</f>
        <v>Język angielski</v>
      </c>
      <c r="N114" s="4" t="str">
        <f>[2]Arkusz1!Q118</f>
        <v>Ósmoklasisty</v>
      </c>
      <c r="O114" s="4" t="str">
        <f>[2]Arkusz1!V118</f>
        <v>Nie</v>
      </c>
      <c r="P114" s="4">
        <f t="shared" si="2"/>
        <v>1</v>
      </c>
      <c r="Q114" s="4">
        <f>[2]Arkusz1!Y118</f>
        <v>0</v>
      </c>
      <c r="R114" s="4" t="s">
        <v>64</v>
      </c>
      <c r="S114" s="4" t="s">
        <v>64</v>
      </c>
      <c r="T114" s="4">
        <f>[2]Arkusz1!AA118</f>
        <v>15</v>
      </c>
      <c r="U114" s="4" t="str">
        <f>IF([2]Arkusz1!O118=[2]Arkusz1!$O$7,"Z",IF([2]Arkusz1!O118=[2]Arkusz1!$O$15,"Ix3",IF([2]Arkusz1!O118=[2]Arkusz1!$O$20,"Ix1","Ix2")))</f>
        <v>Ix1</v>
      </c>
      <c r="V114" s="4">
        <f>[2]Arkusz1!AM118</f>
        <v>33</v>
      </c>
      <c r="W114" s="220">
        <f>[2]Arkusz1!AB118</f>
        <v>45901</v>
      </c>
      <c r="X114" s="220" t="str">
        <f>_xlfn.TEXTBEFORE([2]Arkusz1!AC118," (")</f>
        <v>maj 2026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I114" s="4" t="s">
        <v>628</v>
      </c>
      <c r="AJ114" s="4" t="s">
        <v>629</v>
      </c>
      <c r="AK114" s="4" t="s">
        <v>630</v>
      </c>
      <c r="AL114" s="4">
        <v>5241306063</v>
      </c>
      <c r="AM114" s="4">
        <v>48798635881</v>
      </c>
      <c r="AN114" s="4" t="s">
        <v>631</v>
      </c>
      <c r="AP114" s="4">
        <f>[1]Hist!$X124</f>
        <v>0</v>
      </c>
    </row>
    <row r="115" spans="1:42" x14ac:dyDescent="0.2">
      <c r="A115" s="4">
        <v>114</v>
      </c>
      <c r="B115" s="215">
        <f>[2]Arkusz1!B119</f>
        <v>45909.653263888889</v>
      </c>
      <c r="C115" s="44" t="str">
        <f>_xlfn.CONCAT([2]Arkusz1!G119," ",[2]Arkusz1!H119)</f>
        <v>ANNA Gaj</v>
      </c>
      <c r="D115" s="4" t="s">
        <v>248</v>
      </c>
      <c r="E115" s="4" t="s">
        <v>632</v>
      </c>
      <c r="F115" s="218">
        <v>81120708742</v>
      </c>
      <c r="G115" s="4">
        <f>[2]Arkusz1!I119</f>
        <v>48501139084</v>
      </c>
      <c r="H115" s="4" t="str">
        <f>[2]Arkusz1!J119</f>
        <v>kinia2781@wp.pl</v>
      </c>
      <c r="I115" s="213" t="str">
        <f>_xlfn.CONCAT([2]Arkusz1!C119," ",[2]Arkusz1!D119)</f>
        <v>IGA GAJ</v>
      </c>
      <c r="J115" s="216">
        <f ca="1">IF(DATEDIF([2]Arkusz1!S119,TODAY(),"Y")&gt;21,0,DATEDIF([2]Arkusz1!S119,TODAY(),"Y"))</f>
        <v>10</v>
      </c>
      <c r="K115" s="4" t="str">
        <f>[2]Arkusz1!T119</f>
        <v>Podstawowa</v>
      </c>
      <c r="L115" s="216">
        <f>[2]Arkusz1!U119</f>
        <v>4</v>
      </c>
      <c r="M115" s="4" t="str">
        <f>[2]Arkusz1!P119</f>
        <v>Język angielski</v>
      </c>
      <c r="N115" s="4">
        <f>[2]Arkusz1!Q119</f>
        <v>0</v>
      </c>
      <c r="O115" s="4" t="str">
        <f>[2]Arkusz1!V119</f>
        <v>Nie</v>
      </c>
      <c r="P115" s="4">
        <f t="shared" si="2"/>
        <v>1</v>
      </c>
      <c r="Q115" s="4">
        <f>[2]Arkusz1!Y119</f>
        <v>0</v>
      </c>
      <c r="R115" s="4" t="s">
        <v>64</v>
      </c>
      <c r="S115" s="4" t="s">
        <v>64</v>
      </c>
      <c r="T115" s="4">
        <f>[2]Arkusz1!AA119</f>
        <v>15</v>
      </c>
      <c r="U115" s="4" t="str">
        <f>IF([2]Arkusz1!O119=[2]Arkusz1!$O$7,"Z",IF([2]Arkusz1!O119=[2]Arkusz1!$O$15,"Ix3",IF([2]Arkusz1!O119=[2]Arkusz1!$O$20,"Ix1","Ix2")))</f>
        <v>Z</v>
      </c>
      <c r="V115" s="4">
        <f>[2]Arkusz1!AM119</f>
        <v>64</v>
      </c>
      <c r="W115" s="220">
        <f>[2]Arkusz1!AB119</f>
        <v>45901</v>
      </c>
      <c r="X115" s="220">
        <f>[2]Arkusz1!AC119</f>
        <v>46174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I115" s="4" t="s">
        <v>633</v>
      </c>
      <c r="AJ115" s="4" t="s">
        <v>248</v>
      </c>
      <c r="AK115" s="4" t="s">
        <v>298</v>
      </c>
      <c r="AL115" s="4">
        <v>84122808335</v>
      </c>
      <c r="AM115" s="4">
        <v>48501139084</v>
      </c>
      <c r="AN115" s="4" t="s">
        <v>634</v>
      </c>
      <c r="AP115" s="4">
        <f>[1]Hist!$X125</f>
        <v>0</v>
      </c>
    </row>
    <row r="116" spans="1:42" x14ac:dyDescent="0.2">
      <c r="A116" s="4">
        <v>115</v>
      </c>
      <c r="B116" s="215">
        <f>[2]Arkusz1!B120</f>
        <v>45911.520069444443</v>
      </c>
      <c r="C116" s="44" t="str">
        <f>_xlfn.CONCAT([2]Arkusz1!G120," ",[2]Arkusz1!H120)</f>
        <v>Justyna Matukiewicz</v>
      </c>
      <c r="D116" s="4" t="s">
        <v>485</v>
      </c>
      <c r="E116" s="4" t="s">
        <v>563</v>
      </c>
      <c r="F116" s="218">
        <v>86041612868</v>
      </c>
      <c r="G116" s="4">
        <f>[2]Arkusz1!I120</f>
        <v>48508256610</v>
      </c>
      <c r="H116" s="4" t="str">
        <f>[2]Arkusz1!J120</f>
        <v>justyna.matukiewicz@op.pl</v>
      </c>
      <c r="I116" s="213" t="str">
        <f>_xlfn.CONCAT([2]Arkusz1!C120," ",[2]Arkusz1!D120)</f>
        <v>Krystian Matukiewicz</v>
      </c>
      <c r="J116" s="216">
        <f ca="1">IF(DATEDIF([2]Arkusz1!S120,TODAY(),"Y")&gt;21,0,DATEDIF([2]Arkusz1!S120,TODAY(),"Y"))</f>
        <v>12</v>
      </c>
      <c r="K116" s="4" t="str">
        <f>[2]Arkusz1!T120</f>
        <v>Podstawowa</v>
      </c>
      <c r="L116" s="216">
        <f>[2]Arkusz1!U120</f>
        <v>5</v>
      </c>
      <c r="M116" s="4" t="str">
        <f>[2]Arkusz1!P120</f>
        <v>Język angielski</v>
      </c>
      <c r="N116" s="4">
        <f>[2]Arkusz1!Q120</f>
        <v>0</v>
      </c>
      <c r="O116" s="4" t="str">
        <f>[2]Arkusz1!V120</f>
        <v>Tak (lub kolejny członek rodziny)</v>
      </c>
      <c r="P116" s="4">
        <f t="shared" si="2"/>
        <v>1</v>
      </c>
      <c r="Q116" s="4" t="str">
        <f>[2]Arkusz1!Y120</f>
        <v>041/2025</v>
      </c>
      <c r="R116" s="4" t="s">
        <v>64</v>
      </c>
      <c r="S116" s="4" t="s">
        <v>64</v>
      </c>
      <c r="T116" s="4">
        <f>[2]Arkusz1!AA120</f>
        <v>15</v>
      </c>
      <c r="U116" s="4" t="str">
        <f>IF([2]Arkusz1!O120=[2]Arkusz1!$O$7,"Z",IF([2]Arkusz1!O120=[2]Arkusz1!$O$15,"Ix3",IF([2]Arkusz1!O120=[2]Arkusz1!$O$20,"Ix1","Ix2")))</f>
        <v>Z</v>
      </c>
      <c r="V116" s="4">
        <f>[2]Arkusz1!AM120</f>
        <v>0</v>
      </c>
      <c r="W116" s="220">
        <f>[2]Arkusz1!AB120</f>
        <v>45901</v>
      </c>
      <c r="X116" s="220" t="str">
        <f>_xlfn.TEXTBEFORE([2]Arkusz1!AC120," (")</f>
        <v>maj 2026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I116" s="4" t="s">
        <v>546</v>
      </c>
      <c r="AJ116" s="4" t="s">
        <v>307</v>
      </c>
      <c r="AK116" s="4" t="s">
        <v>547</v>
      </c>
      <c r="AL116" s="4">
        <v>14210215037</v>
      </c>
      <c r="AM116" s="4">
        <v>0</v>
      </c>
      <c r="AN116" s="4">
        <v>0</v>
      </c>
      <c r="AP116" s="4">
        <f>[1]Hist!$X126</f>
        <v>0</v>
      </c>
    </row>
    <row r="117" spans="1:42" x14ac:dyDescent="0.2">
      <c r="A117" s="4">
        <v>116</v>
      </c>
      <c r="B117" s="215">
        <f>[2]Arkusz1!B121</f>
        <v>45912.415520833332</v>
      </c>
      <c r="C117" s="44" t="str">
        <f>_xlfn.CONCAT([2]Arkusz1!G121," ",[2]Arkusz1!H121)</f>
        <v>Milena Mościcka</v>
      </c>
      <c r="D117" s="4" t="s">
        <v>551</v>
      </c>
      <c r="E117" s="4" t="s">
        <v>635</v>
      </c>
      <c r="F117" s="218">
        <v>86091717148</v>
      </c>
      <c r="G117" s="4">
        <f>[2]Arkusz1!I121</f>
        <v>48503803757</v>
      </c>
      <c r="H117" s="4" t="str">
        <f>[2]Arkusz1!J121</f>
        <v>cymerka@gmail.com</v>
      </c>
      <c r="I117" s="213" t="str">
        <f>_xlfn.CONCAT([2]Arkusz1!C121," ",[2]Arkusz1!D121)</f>
        <v>Oliwia Mościcka</v>
      </c>
      <c r="J117" s="216">
        <f ca="1">IF(DATEDIF([2]Arkusz1!S121,TODAY(),"Y")&gt;21,0,DATEDIF([2]Arkusz1!S121,TODAY(),"Y"))</f>
        <v>12</v>
      </c>
      <c r="K117" s="4" t="str">
        <f>[2]Arkusz1!T121</f>
        <v>Podstawowa</v>
      </c>
      <c r="L117" s="216">
        <f>[2]Arkusz1!U121</f>
        <v>5</v>
      </c>
      <c r="M117" s="4" t="str">
        <f>[2]Arkusz1!P121</f>
        <v>Język angielski</v>
      </c>
      <c r="N117" s="4">
        <f>[2]Arkusz1!Q121</f>
        <v>0</v>
      </c>
      <c r="O117" s="4" t="str">
        <f>[2]Arkusz1!V121</f>
        <v>Nie</v>
      </c>
      <c r="P117" s="4">
        <f t="shared" si="2"/>
        <v>1</v>
      </c>
      <c r="Q117" s="4">
        <f>[2]Arkusz1!Y121</f>
        <v>0</v>
      </c>
      <c r="R117" s="4" t="s">
        <v>64</v>
      </c>
      <c r="S117" s="4" t="s">
        <v>64</v>
      </c>
      <c r="T117" s="4">
        <f>[2]Arkusz1!AA121</f>
        <v>15</v>
      </c>
      <c r="U117" s="4" t="str">
        <f>IF([2]Arkusz1!O121=[2]Arkusz1!$O$7,"Z",IF([2]Arkusz1!O121=[2]Arkusz1!$O$15,"Ix3",IF([2]Arkusz1!O121=[2]Arkusz1!$O$20,"Ix1","Ix2")))</f>
        <v>Ix1</v>
      </c>
      <c r="V117" s="4">
        <f>[2]Arkusz1!AM121</f>
        <v>0</v>
      </c>
      <c r="W117" s="227">
        <f>[2]Arkusz1!AB121</f>
        <v>45931</v>
      </c>
      <c r="X117" s="220">
        <f>[2]Arkusz1!AC121</f>
        <v>46174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I117" s="4" t="s">
        <v>546</v>
      </c>
      <c r="AJ117" s="4" t="s">
        <v>307</v>
      </c>
      <c r="AK117" s="4" t="s">
        <v>547</v>
      </c>
      <c r="AL117" s="4">
        <v>14210215037</v>
      </c>
      <c r="AM117" s="4">
        <v>0</v>
      </c>
      <c r="AN117" s="4">
        <v>0</v>
      </c>
      <c r="AP117" s="4">
        <f>[1]Hist!$X127</f>
        <v>0</v>
      </c>
    </row>
    <row r="118" spans="1:42" x14ac:dyDescent="0.2">
      <c r="A118" s="4">
        <v>117</v>
      </c>
      <c r="B118" s="215">
        <f>[2]Arkusz1!B122</f>
        <v>45912.671203703707</v>
      </c>
      <c r="C118" s="44" t="str">
        <f>_xlfn.CONCAT([2]Arkusz1!G122," ",[2]Arkusz1!H122)</f>
        <v>Ewelina Ulias</v>
      </c>
      <c r="D118" s="4" t="s">
        <v>636</v>
      </c>
      <c r="E118" s="4" t="s">
        <v>637</v>
      </c>
      <c r="F118" s="218">
        <v>84012913466</v>
      </c>
      <c r="G118" s="4">
        <f>[2]Arkusz1!I122</f>
        <v>48662273681</v>
      </c>
      <c r="H118" s="4" t="str">
        <f>[2]Arkusz1!J122</f>
        <v>e.wisniewska_ziemar@op.pl</v>
      </c>
      <c r="I118" s="213" t="str">
        <f>_xlfn.CONCAT([2]Arkusz1!C122," ",[2]Arkusz1!D122)</f>
        <v>Karina Ulias-Ziejewska</v>
      </c>
      <c r="J118" s="216">
        <f ca="1">IF(DATEDIF([2]Arkusz1!S122,TODAY(),"Y")&gt;21,0,DATEDIF([2]Arkusz1!S122,TODAY(),"Y"))</f>
        <v>11</v>
      </c>
      <c r="K118" s="4" t="str">
        <f>[2]Arkusz1!T122</f>
        <v>Podstawowa</v>
      </c>
      <c r="L118" s="216">
        <f>[2]Arkusz1!U122</f>
        <v>5</v>
      </c>
      <c r="M118" s="4" t="str">
        <f>[2]Arkusz1!P122</f>
        <v>Język angielski</v>
      </c>
      <c r="N118" s="4">
        <f>[2]Arkusz1!Q122</f>
        <v>0</v>
      </c>
      <c r="O118" s="4" t="str">
        <f>[2]Arkusz1!V122</f>
        <v>Tak (lub kolejny członek rodziny)</v>
      </c>
      <c r="P118" s="4">
        <f t="shared" si="2"/>
        <v>1</v>
      </c>
      <c r="Q118" s="4" t="str">
        <f>[2]Arkusz1!Y122</f>
        <v>038/2025</v>
      </c>
      <c r="R118" s="4" t="s">
        <v>64</v>
      </c>
      <c r="S118" s="4" t="s">
        <v>64</v>
      </c>
      <c r="T118" s="4">
        <f>[2]Arkusz1!AA122</f>
        <v>15</v>
      </c>
      <c r="U118" s="4" t="str">
        <f>IF([2]Arkusz1!O122=[2]Arkusz1!$O$7,"Z",IF([2]Arkusz1!O122=[2]Arkusz1!$O$15,"Ix3",IF([2]Arkusz1!O122=[2]Arkusz1!$O$20,"Ix1","Ix2")))</f>
        <v>Z</v>
      </c>
      <c r="V118" s="4">
        <f>[2]Arkusz1!AM122</f>
        <v>0</v>
      </c>
      <c r="W118" s="220">
        <f>[2]Arkusz1!AB122</f>
        <v>45901</v>
      </c>
      <c r="X118" s="220" t="str">
        <f>_xlfn.TEXTBEFORE([2]Arkusz1!AC122," (")</f>
        <v>maj 2026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I118" s="4" t="s">
        <v>546</v>
      </c>
      <c r="AJ118" s="4" t="s">
        <v>307</v>
      </c>
      <c r="AK118" s="4" t="s">
        <v>547</v>
      </c>
      <c r="AL118" s="4">
        <v>14210215037</v>
      </c>
      <c r="AM118" s="4">
        <v>0</v>
      </c>
      <c r="AN118" s="4">
        <v>0</v>
      </c>
      <c r="AP118" s="4">
        <f>[1]Hist!$X128</f>
        <v>0</v>
      </c>
    </row>
    <row r="119" spans="1:42" x14ac:dyDescent="0.2">
      <c r="A119" s="4">
        <v>118</v>
      </c>
      <c r="B119" s="215">
        <f>[2]Arkusz1!B123</f>
        <v>0</v>
      </c>
      <c r="C119" s="44" t="str">
        <f>_xlfn.CONCAT([2]Arkusz1!G123," ",[2]Arkusz1!H123)</f>
        <v>Wioletta Borucka</v>
      </c>
      <c r="D119" s="4" t="s">
        <v>248</v>
      </c>
      <c r="E119" s="4" t="s">
        <v>500</v>
      </c>
      <c r="F119" s="218">
        <v>80040912608</v>
      </c>
      <c r="G119" s="4">
        <f>[2]Arkusz1!I123</f>
        <v>48502620559</v>
      </c>
      <c r="H119" s="4" t="str">
        <f>[2]Arkusz1!J123</f>
        <v>Wiolab0@op.pl</v>
      </c>
      <c r="I119" s="213" t="str">
        <f>_xlfn.CONCAT([2]Arkusz1!C123," ",[2]Arkusz1!D123)</f>
        <v>Julia Borucka</v>
      </c>
      <c r="J119" s="216">
        <f ca="1">IF(DATEDIF([2]Arkusz1!S123,TODAY(),"Y")&gt;21,0,DATEDIF([2]Arkusz1!S123,TODAY(),"Y"))</f>
        <v>19</v>
      </c>
      <c r="K119" s="4" t="str">
        <f>[2]Arkusz1!T123</f>
        <v>Średnia - liceum</v>
      </c>
      <c r="L119" s="216">
        <f>[2]Arkusz1!U123</f>
        <v>4</v>
      </c>
      <c r="M119" s="4" t="str">
        <f>[2]Arkusz1!P123</f>
        <v>Język angielski</v>
      </c>
      <c r="N119" s="4" t="str">
        <f>[2]Arkusz1!Q123</f>
        <v>Maturalny</v>
      </c>
      <c r="O119" s="4" t="str">
        <f>[2]Arkusz1!V123</f>
        <v>Tak (lub kolejny członek rodziny)</v>
      </c>
      <c r="P119" s="4">
        <f t="shared" si="2"/>
        <v>1</v>
      </c>
      <c r="Q119" s="4" t="str">
        <f>[2]Arkusz1!Y123</f>
        <v>031/2025</v>
      </c>
      <c r="R119" s="4" t="s">
        <v>64</v>
      </c>
      <c r="S119" s="4" t="s">
        <v>64</v>
      </c>
      <c r="T119" s="4">
        <f>[2]Arkusz1!AA123</f>
        <v>25</v>
      </c>
      <c r="U119" s="4" t="str">
        <f>IF([2]Arkusz1!O123=[2]Arkusz1!$O$7,"Z",IF([2]Arkusz1!O123=[2]Arkusz1!$O$15,"Ix3",IF([2]Arkusz1!O123=[2]Arkusz1!$O$20,"Ix1","Ix2")))</f>
        <v>Z</v>
      </c>
      <c r="V119" s="4">
        <f>[2]Arkusz1!AM123</f>
        <v>0</v>
      </c>
      <c r="W119" s="220">
        <f>[2]Arkusz1!AB123</f>
        <v>45901</v>
      </c>
      <c r="X119" s="220" t="str">
        <f>_xlfn.TEXTBEFORE([2]Arkusz1!AC123," (")</f>
        <v>maj 2026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I119" s="4" t="s">
        <v>546</v>
      </c>
      <c r="AJ119" s="4" t="s">
        <v>307</v>
      </c>
      <c r="AK119" s="4" t="s">
        <v>547</v>
      </c>
      <c r="AL119" s="4">
        <v>14210215037</v>
      </c>
      <c r="AM119" s="4">
        <v>0</v>
      </c>
      <c r="AN119" s="4">
        <v>0</v>
      </c>
      <c r="AP119" s="4">
        <f>[1]Hist!$X129</f>
        <v>0</v>
      </c>
    </row>
    <row r="120" spans="1:42" x14ac:dyDescent="0.2">
      <c r="A120" s="4">
        <v>119</v>
      </c>
      <c r="B120" s="215">
        <f>[2]Arkusz1!B124</f>
        <v>45916.41746527778</v>
      </c>
      <c r="C120" s="44" t="str">
        <f>_xlfn.CONCAT([2]Arkusz1!G124," ",[2]Arkusz1!H124)</f>
        <v>Kamilla Templin</v>
      </c>
      <c r="D120" s="4" t="s">
        <v>325</v>
      </c>
      <c r="E120" s="4" t="s">
        <v>638</v>
      </c>
      <c r="F120" s="218">
        <v>82111813186</v>
      </c>
      <c r="G120" s="4">
        <f>[2]Arkusz1!I124</f>
        <v>48600280927</v>
      </c>
      <c r="H120" s="4" t="str">
        <f>[2]Arkusz1!J124</f>
        <v>kamciamal@vp.pl</v>
      </c>
      <c r="I120" s="213" t="str">
        <f>_xlfn.CONCAT([2]Arkusz1!C124," ",[2]Arkusz1!D124)</f>
        <v>Magdalena Templin</v>
      </c>
      <c r="J120" s="216">
        <f ca="1">IF(DATEDIF([2]Arkusz1!S124,TODAY(),"Y")&gt;21,0,DATEDIF([2]Arkusz1!S124,TODAY(),"Y"))</f>
        <v>13</v>
      </c>
      <c r="K120" s="4" t="str">
        <f>[2]Arkusz1!T124</f>
        <v>Podstawowa</v>
      </c>
      <c r="L120" s="216">
        <f>[2]Arkusz1!U124</f>
        <v>7</v>
      </c>
      <c r="M120" s="4" t="str">
        <f>[2]Arkusz1!P124</f>
        <v>Język angielski</v>
      </c>
      <c r="N120" s="4" t="str">
        <f>[2]Arkusz1!Q124</f>
        <v>Ósmoklasisty</v>
      </c>
      <c r="O120" s="4" t="str">
        <f>[2]Arkusz1!V124</f>
        <v>Nie</v>
      </c>
      <c r="P120" s="4">
        <f t="shared" si="2"/>
        <v>1</v>
      </c>
      <c r="Q120" s="4">
        <f>[2]Arkusz1!Y124</f>
        <v>0</v>
      </c>
      <c r="R120" s="4" t="s">
        <v>64</v>
      </c>
      <c r="S120" s="4" t="s">
        <v>64</v>
      </c>
      <c r="T120" s="4">
        <f>[2]Arkusz1!AA124</f>
        <v>25</v>
      </c>
      <c r="U120" s="4" t="str">
        <f>IF([2]Arkusz1!O124=[2]Arkusz1!$O$7,"Z",IF([2]Arkusz1!O124=[2]Arkusz1!$O$15,"Ix3",IF([2]Arkusz1!O124=[2]Arkusz1!$O$20,"Ix1","Ix2")))</f>
        <v>Z</v>
      </c>
      <c r="V120" s="4">
        <f>[2]Arkusz1!AM124</f>
        <v>0</v>
      </c>
      <c r="W120" s="227">
        <f>[2]Arkusz1!AB124</f>
        <v>45901</v>
      </c>
      <c r="X120" s="220" t="str">
        <f>_xlfn.TEXTBEFORE([2]Arkusz1!AC124," (")</f>
        <v>maj 2026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I120" s="4" t="s">
        <v>546</v>
      </c>
      <c r="AJ120" s="4" t="s">
        <v>307</v>
      </c>
      <c r="AK120" s="4" t="s">
        <v>547</v>
      </c>
      <c r="AL120" s="4">
        <v>14210215037</v>
      </c>
      <c r="AM120" s="4">
        <v>0</v>
      </c>
      <c r="AN120" s="4">
        <v>0</v>
      </c>
      <c r="AP120" s="4">
        <f>[1]Hist!$X130</f>
        <v>0</v>
      </c>
    </row>
    <row r="121" spans="1:42" x14ac:dyDescent="0.2">
      <c r="A121" s="4">
        <v>120</v>
      </c>
      <c r="B121" s="215">
        <f>[2]Arkusz1!B125</f>
        <v>45926.588680555556</v>
      </c>
      <c r="C121" s="44" t="str">
        <f>_xlfn.CONCAT([2]Arkusz1!G125," ",[2]Arkusz1!H125)</f>
        <v>Bożena Chrapkowska</v>
      </c>
      <c r="D121" s="4" t="s">
        <v>248</v>
      </c>
      <c r="E121" s="4" t="s">
        <v>639</v>
      </c>
      <c r="F121" s="218">
        <v>63051112025</v>
      </c>
      <c r="G121" s="4">
        <f>[2]Arkusz1!I125</f>
        <v>48697570511</v>
      </c>
      <c r="H121" s="4" t="str">
        <f>[2]Arkusz1!J125</f>
        <v>bchrapkowska@wp.pl</v>
      </c>
      <c r="I121" s="213" t="str">
        <f>_xlfn.CONCAT([2]Arkusz1!C125," ",[2]Arkusz1!D125)</f>
        <v>Bożena Chrapkowska</v>
      </c>
      <c r="J121" s="216">
        <f ca="1">IF(DATEDIF([2]Arkusz1!S125,TODAY(),"Y")&gt;21,0,DATEDIF([2]Arkusz1!S125,TODAY(),"Y"))</f>
        <v>0</v>
      </c>
      <c r="K121" s="4">
        <f>[2]Arkusz1!T125</f>
        <v>0</v>
      </c>
      <c r="L121" s="216">
        <f>[2]Arkusz1!U125</f>
        <v>0</v>
      </c>
      <c r="M121" s="4" t="str">
        <f>[2]Arkusz1!P125</f>
        <v>Język angielski</v>
      </c>
      <c r="N121" s="4">
        <f>[2]Arkusz1!Q125</f>
        <v>0</v>
      </c>
      <c r="O121" s="4" t="str">
        <f>[2]Arkusz1!V125</f>
        <v>Nie</v>
      </c>
      <c r="P121" s="4">
        <f t="shared" si="2"/>
        <v>1</v>
      </c>
      <c r="Q121" s="4">
        <f>[2]Arkusz1!Y125</f>
        <v>0</v>
      </c>
      <c r="R121" s="4" t="s">
        <v>64</v>
      </c>
      <c r="S121" s="4" t="s">
        <v>64</v>
      </c>
      <c r="T121" s="4">
        <f>[2]Arkusz1!AA125</f>
        <v>5</v>
      </c>
      <c r="U121" s="4" t="str">
        <f>IF([2]Arkusz1!O125=[2]Arkusz1!$O$7,"Z",IF([2]Arkusz1!O125=[2]Arkusz1!$O$15,"Ix3",IF([2]Arkusz1!O125=[2]Arkusz1!$O$20,"Ix1","Ix2")))</f>
        <v>Ix3</v>
      </c>
      <c r="V121" s="4">
        <f>[2]Arkusz1!AM125</f>
        <v>0</v>
      </c>
      <c r="W121" s="227">
        <f>[2]Arkusz1!AB125</f>
        <v>45931</v>
      </c>
      <c r="X121" s="220" t="str">
        <f>_xlfn.TEXTBEFORE([2]Arkusz1!AC125," (")</f>
        <v>maj 2026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I121" s="4" t="s">
        <v>546</v>
      </c>
      <c r="AJ121" s="4" t="s">
        <v>307</v>
      </c>
      <c r="AK121" s="4" t="s">
        <v>547</v>
      </c>
      <c r="AL121" s="4">
        <v>14210215037</v>
      </c>
      <c r="AM121" s="4">
        <v>0</v>
      </c>
      <c r="AN121" s="4">
        <v>0</v>
      </c>
      <c r="AP121" s="4">
        <f>[1]Hist!$X131</f>
        <v>0</v>
      </c>
    </row>
    <row r="122" spans="1:42" x14ac:dyDescent="0.2">
      <c r="A122" s="4">
        <v>121</v>
      </c>
      <c r="B122" s="215">
        <f>[2]Arkusz1!B126</f>
        <v>45929.563611111109</v>
      </c>
      <c r="C122" s="44" t="str">
        <f>_xlfn.CONCAT([2]Arkusz1!G126," ",[2]Arkusz1!H126)</f>
        <v>Joanna Więczkowska</v>
      </c>
      <c r="D122" s="4" t="s">
        <v>248</v>
      </c>
      <c r="E122" s="4" t="s">
        <v>640</v>
      </c>
      <c r="F122" s="218">
        <v>83082106286</v>
      </c>
      <c r="G122" s="4">
        <f>[2]Arkusz1!I126</f>
        <v>48728567116</v>
      </c>
      <c r="H122" s="4" t="str">
        <f>[2]Arkusz1!J126</f>
        <v>jovanna5@wp.pl</v>
      </c>
      <c r="I122" s="213" t="str">
        <f>_xlfn.CONCAT([2]Arkusz1!C126," ",[2]Arkusz1!D126)</f>
        <v>Joanna Więczkowska</v>
      </c>
      <c r="J122" s="216">
        <f ca="1">IF(DATEDIF([2]Arkusz1!S126,TODAY(),"Y")&gt;21,0,DATEDIF([2]Arkusz1!S126,TODAY(),"Y"))</f>
        <v>0</v>
      </c>
      <c r="K122" s="4">
        <f>[2]Arkusz1!T126</f>
        <v>0</v>
      </c>
      <c r="L122" s="216">
        <f>[2]Arkusz1!U126</f>
        <v>0</v>
      </c>
      <c r="M122" s="4" t="str">
        <f>[2]Arkusz1!P126</f>
        <v>Język angielski</v>
      </c>
      <c r="N122" s="4">
        <f>[2]Arkusz1!Q126</f>
        <v>0</v>
      </c>
      <c r="O122" s="4" t="str">
        <f>[2]Arkusz1!V126</f>
        <v>Nie</v>
      </c>
      <c r="P122" s="4">
        <f t="shared" si="2"/>
        <v>1</v>
      </c>
      <c r="Q122" s="4">
        <f>[2]Arkusz1!Y126</f>
        <v>0</v>
      </c>
      <c r="R122" s="4" t="s">
        <v>64</v>
      </c>
      <c r="S122" s="4" t="s">
        <v>64</v>
      </c>
      <c r="T122" s="4">
        <f>[2]Arkusz1!AA126</f>
        <v>25</v>
      </c>
      <c r="U122" s="4" t="str">
        <f>IF([2]Arkusz1!O126=[2]Arkusz1!$O$7,"Z",IF([2]Arkusz1!O126=[2]Arkusz1!$O$15,"Ix3",IF([2]Arkusz1!O126=[2]Arkusz1!$O$20,"Ix1","Ix2")))</f>
        <v>Ix2</v>
      </c>
      <c r="V122" s="4">
        <f>[2]Arkusz1!AM126</f>
        <v>0</v>
      </c>
      <c r="W122" s="227">
        <f>[2]Arkusz1!AB126</f>
        <v>45931</v>
      </c>
      <c r="X122" s="220">
        <f>[2]Arkusz1!AC126</f>
        <v>46235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I122" s="4" t="s">
        <v>546</v>
      </c>
      <c r="AJ122" s="4" t="s">
        <v>307</v>
      </c>
      <c r="AK122" s="4" t="s">
        <v>547</v>
      </c>
      <c r="AL122" s="4">
        <v>14210215037</v>
      </c>
      <c r="AM122" s="4">
        <v>0</v>
      </c>
      <c r="AN122" s="4">
        <v>0</v>
      </c>
      <c r="AP122" s="4">
        <f>[1]Hist!$X132</f>
        <v>0</v>
      </c>
    </row>
    <row r="123" spans="1:42" x14ac:dyDescent="0.2">
      <c r="A123" s="4">
        <v>122</v>
      </c>
      <c r="B123" s="215">
        <f>[2]Arkusz1!B127</f>
        <v>45931.560208333336</v>
      </c>
      <c r="C123" s="44" t="str">
        <f>_xlfn.CONCAT([2]Arkusz1!G127," ",[2]Arkusz1!H127)</f>
        <v>Patrycja Maciejewska</v>
      </c>
      <c r="D123" s="4" t="s">
        <v>248</v>
      </c>
      <c r="E123" s="4" t="s">
        <v>641</v>
      </c>
      <c r="F123" s="228">
        <v>86022206585</v>
      </c>
      <c r="G123" s="4">
        <f>[2]Arkusz1!I127</f>
        <v>48609080732</v>
      </c>
      <c r="H123" s="4" t="str">
        <f>[2]Arkusz1!J127</f>
        <v>patrycja.maciejewska290381@interia.pl</v>
      </c>
      <c r="I123" s="213" t="str">
        <f>_xlfn.CONCAT([2]Arkusz1!C127," ",[2]Arkusz1!D127)</f>
        <v>Nikola Maciejewska</v>
      </c>
      <c r="J123" s="216">
        <f ca="1">IF(DATEDIF([2]Arkusz1!S127,TODAY(),"Y")&gt;21,0,DATEDIF([2]Arkusz1!S127,TODAY(),"Y"))</f>
        <v>18</v>
      </c>
      <c r="K123" s="4" t="str">
        <f>[2]Arkusz1!T127</f>
        <v>Średnia - liceum</v>
      </c>
      <c r="L123" s="216">
        <f>[2]Arkusz1!U127</f>
        <v>4</v>
      </c>
      <c r="M123" s="4" t="str">
        <f>[2]Arkusz1!P127</f>
        <v>Matematyka</v>
      </c>
      <c r="N123" s="4">
        <f>[2]Arkusz1!Q127</f>
        <v>0</v>
      </c>
      <c r="O123" s="4" t="str">
        <f>[2]Arkusz1!V127</f>
        <v>Nie</v>
      </c>
      <c r="P123" s="4">
        <f t="shared" si="2"/>
        <v>1</v>
      </c>
      <c r="Q123" s="4">
        <f>[2]Arkusz1!Y127</f>
        <v>0</v>
      </c>
      <c r="R123" s="4" t="s">
        <v>64</v>
      </c>
      <c r="S123" s="4" t="s">
        <v>64</v>
      </c>
      <c r="T123" s="4">
        <f>[2]Arkusz1!AA127</f>
        <v>15</v>
      </c>
      <c r="U123" s="4" t="str">
        <f>IF([2]Arkusz1!O127=[2]Arkusz1!$O$7,"Z",IF([2]Arkusz1!O127=[2]Arkusz1!$O$15,"Ix3",IF([2]Arkusz1!O127=[2]Arkusz1!$O$20,"Ix1","Ix2")))</f>
        <v>Ix1</v>
      </c>
      <c r="V123" s="4">
        <f>[2]Arkusz1!AM127</f>
        <v>0</v>
      </c>
      <c r="W123" s="227">
        <f>[2]Arkusz1!AB127</f>
        <v>45931</v>
      </c>
      <c r="X123" s="220">
        <f>[2]Arkusz1!AC127</f>
        <v>46113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I123" s="4" t="s">
        <v>546</v>
      </c>
      <c r="AJ123" s="4" t="s">
        <v>307</v>
      </c>
      <c r="AK123" s="4" t="s">
        <v>547</v>
      </c>
      <c r="AL123" s="4">
        <v>14210215037</v>
      </c>
      <c r="AM123" s="4">
        <v>0</v>
      </c>
      <c r="AN123" s="4">
        <v>0</v>
      </c>
      <c r="AP123" s="4">
        <f>[1]Hist!$X133</f>
        <v>0</v>
      </c>
    </row>
    <row r="124" spans="1:42" x14ac:dyDescent="0.2">
      <c r="A124" s="4">
        <v>123</v>
      </c>
      <c r="B124" s="215">
        <f>[2]Arkusz1!B128</f>
        <v>45932.539861111109</v>
      </c>
      <c r="C124" s="44" t="str">
        <f>_xlfn.CONCAT([2]Arkusz1!G128," ",[2]Arkusz1!H128)</f>
        <v>Karolina Łątkowska</v>
      </c>
      <c r="F124" s="218"/>
      <c r="G124" s="4">
        <f>[2]Arkusz1!I128</f>
        <v>48512804501</v>
      </c>
      <c r="H124" s="4" t="str">
        <f>[2]Arkusz1!J128</f>
        <v>k.latkowska53@gmail.com</v>
      </c>
      <c r="I124" s="213" t="str">
        <f>_xlfn.CONCAT([2]Arkusz1!C128," ",[2]Arkusz1!D128)</f>
        <v>Karolina Łątkowska</v>
      </c>
      <c r="J124" s="216">
        <f ca="1">IF(DATEDIF([2]Arkusz1!S128,TODAY(),"Y")&gt;21,0,DATEDIF([2]Arkusz1!S128,TODAY(),"Y"))</f>
        <v>0</v>
      </c>
      <c r="K124" s="4">
        <f>[2]Arkusz1!T128</f>
        <v>0</v>
      </c>
      <c r="L124" s="216">
        <f>[2]Arkusz1!U128</f>
        <v>0</v>
      </c>
      <c r="M124" s="4" t="str">
        <f>[2]Arkusz1!P128</f>
        <v>Język angielski</v>
      </c>
      <c r="N124" s="4">
        <f>[2]Arkusz1!Q128</f>
        <v>0</v>
      </c>
      <c r="O124" s="4" t="str">
        <f>[2]Arkusz1!V128</f>
        <v>Nie</v>
      </c>
      <c r="P124" s="4">
        <f t="shared" si="2"/>
        <v>1</v>
      </c>
      <c r="Q124" s="4">
        <f>[2]Arkusz1!Y128</f>
        <v>0</v>
      </c>
      <c r="R124" s="4" t="s">
        <v>64</v>
      </c>
      <c r="S124" s="4" t="s">
        <v>64</v>
      </c>
      <c r="T124" s="4">
        <f>[2]Arkusz1!AA128</f>
        <v>15</v>
      </c>
      <c r="U124" s="4" t="str">
        <f>IF([2]Arkusz1!O128=[2]Arkusz1!$O$7,"Z",IF([2]Arkusz1!O128=[2]Arkusz1!$O$15,"Ix3",IF([2]Arkusz1!O128=[2]Arkusz1!$O$20,"Ix1","Ix2")))</f>
        <v>Z</v>
      </c>
      <c r="V124" s="4">
        <f>[2]Arkusz1!AM128</f>
        <v>0</v>
      </c>
      <c r="W124" s="227">
        <f>[2]Arkusz1!AB128</f>
        <v>45931</v>
      </c>
      <c r="X124" s="220">
        <f>[2]Arkusz1!AC128</f>
        <v>46235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I124" s="4" t="s">
        <v>546</v>
      </c>
      <c r="AJ124" s="4" t="s">
        <v>307</v>
      </c>
      <c r="AK124" s="4" t="s">
        <v>547</v>
      </c>
      <c r="AL124" s="4">
        <v>14210215037</v>
      </c>
      <c r="AM124" s="4">
        <v>0</v>
      </c>
      <c r="AN124" s="4">
        <v>0</v>
      </c>
      <c r="AP124" s="4">
        <f>[1]Hist!$X134</f>
        <v>0</v>
      </c>
    </row>
    <row r="125" spans="1:42" x14ac:dyDescent="0.2">
      <c r="A125" s="4">
        <v>124</v>
      </c>
      <c r="B125" s="215">
        <f>[2]Arkusz1!B129</f>
        <v>0</v>
      </c>
      <c r="C125" s="44" t="str">
        <f>_xlfn.CONCAT([2]Arkusz1!G129," ",[2]Arkusz1!H129)</f>
        <v>Piotr Ochocki</v>
      </c>
      <c r="D125" s="4" t="s">
        <v>351</v>
      </c>
      <c r="E125" s="4" t="s">
        <v>642</v>
      </c>
      <c r="F125" s="218">
        <v>82092514654</v>
      </c>
      <c r="G125" s="4">
        <f>[2]Arkusz1!I129</f>
        <v>48509146138</v>
      </c>
      <c r="H125" s="4" t="str">
        <f>[2]Arkusz1!J129</f>
        <v>piotr.ochocki@inter.ikea.com</v>
      </c>
      <c r="I125" s="213" t="str">
        <f>_xlfn.CONCAT([2]Arkusz1!C129," ",[2]Arkusz1!D129)</f>
        <v>Piotr Ochocki</v>
      </c>
      <c r="J125" s="216">
        <f ca="1">IF(DATEDIF([2]Arkusz1!S129,TODAY(),"Y")&gt;21,0,DATEDIF([2]Arkusz1!S129,TODAY(),"Y"))</f>
        <v>0</v>
      </c>
      <c r="K125" s="4">
        <f>[2]Arkusz1!T129</f>
        <v>0</v>
      </c>
      <c r="L125" s="216">
        <f>[2]Arkusz1!U129</f>
        <v>0</v>
      </c>
      <c r="M125" s="4" t="str">
        <f>[2]Arkusz1!P129</f>
        <v>Język angielski</v>
      </c>
      <c r="N125" s="4">
        <f>[2]Arkusz1!Q129</f>
        <v>0</v>
      </c>
      <c r="O125" s="4" t="str">
        <f>[2]Arkusz1!V129</f>
        <v>Tak (lub kolejny członek rodziny)</v>
      </c>
      <c r="P125" s="4">
        <f t="shared" si="2"/>
        <v>1</v>
      </c>
      <c r="Q125" s="4" t="str">
        <f>[2]Arkusz1!Y129</f>
        <v>089/2025</v>
      </c>
      <c r="R125" s="4" t="s">
        <v>64</v>
      </c>
      <c r="S125" s="4" t="s">
        <v>65</v>
      </c>
      <c r="T125" s="4">
        <f>[2]Arkusz1!AA129</f>
        <v>25</v>
      </c>
      <c r="U125" s="4" t="str">
        <f>IF([2]Arkusz1!O129=[2]Arkusz1!$O$7,"Z",IF([2]Arkusz1!O129=[2]Arkusz1!$O$15,"Ix3",IF([2]Arkusz1!O129=[2]Arkusz1!$O$20,"Ix1","Ix2")))</f>
        <v>Ix1</v>
      </c>
      <c r="V125" s="4">
        <f>[2]Arkusz1!AM129</f>
        <v>0</v>
      </c>
      <c r="W125" s="227">
        <f>[2]Arkusz1!AB129</f>
        <v>45945</v>
      </c>
      <c r="X125" s="220" t="str">
        <f>_xlfn.TEXTBEFORE([2]Arkusz1!AC129," (")</f>
        <v>maj 2026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I125" s="4" t="s">
        <v>546</v>
      </c>
      <c r="AJ125" s="4" t="s">
        <v>307</v>
      </c>
      <c r="AK125" s="4" t="s">
        <v>547</v>
      </c>
      <c r="AL125" s="4">
        <v>14210215037</v>
      </c>
      <c r="AM125" s="4">
        <v>0</v>
      </c>
      <c r="AN125" s="4">
        <v>0</v>
      </c>
      <c r="AP125" s="4">
        <f>[1]Hist!$X135</f>
        <v>0</v>
      </c>
    </row>
    <row r="126" spans="1:42" x14ac:dyDescent="0.2">
      <c r="A126" s="4">
        <v>125</v>
      </c>
      <c r="B126" s="215">
        <f>[2]Arkusz1!B130</f>
        <v>45950.54954861111</v>
      </c>
      <c r="C126" s="44" t="str">
        <f>_xlfn.CONCAT([2]Arkusz1!G130," ",[2]Arkusz1!H130)</f>
        <v>Kamila Gurowska</v>
      </c>
      <c r="F126" s="218"/>
      <c r="G126" s="4">
        <f>[2]Arkusz1!I130</f>
        <v>48664176029</v>
      </c>
      <c r="H126" s="4" t="str">
        <f>[2]Arkusz1!J130</f>
        <v>gurowskakamila@wp.pl</v>
      </c>
      <c r="I126" s="213" t="str">
        <f>_xlfn.CONCAT([2]Arkusz1!C130," ",[2]Arkusz1!D130)</f>
        <v>Kamila Gurowska</v>
      </c>
      <c r="J126" s="216">
        <f ca="1">IF(DATEDIF([2]Arkusz1!S130,TODAY(),"Y")&gt;21,0,DATEDIF([2]Arkusz1!S130,TODAY(),"Y"))</f>
        <v>0</v>
      </c>
      <c r="K126" s="4">
        <f>[2]Arkusz1!T130</f>
        <v>0</v>
      </c>
      <c r="L126" s="216">
        <f>[2]Arkusz1!U130</f>
        <v>0</v>
      </c>
      <c r="M126" s="4" t="str">
        <f>[2]Arkusz1!P130</f>
        <v>Język angielski</v>
      </c>
      <c r="N126" s="4">
        <f>[2]Arkusz1!Q130</f>
        <v>0</v>
      </c>
      <c r="O126" s="4" t="str">
        <f>[2]Arkusz1!V130</f>
        <v>Nie</v>
      </c>
      <c r="P126" s="4">
        <f t="shared" si="2"/>
        <v>1</v>
      </c>
      <c r="Q126" s="4">
        <f>[2]Arkusz1!Y130</f>
        <v>0</v>
      </c>
      <c r="R126" s="4" t="s">
        <v>64</v>
      </c>
      <c r="S126" s="4" t="s">
        <v>64</v>
      </c>
      <c r="T126" s="4">
        <f>[2]Arkusz1!AA130</f>
        <v>25</v>
      </c>
      <c r="U126" s="4" t="str">
        <f>IF([2]Arkusz1!O130=[2]Arkusz1!$O$7,"Z",IF([2]Arkusz1!O130=[2]Arkusz1!$O$15,"Ix3",IF([2]Arkusz1!O130=[2]Arkusz1!$O$20,"Ix1","Ix2")))</f>
        <v>Z</v>
      </c>
      <c r="V126" s="4">
        <f>[2]Arkusz1!AM130</f>
        <v>0</v>
      </c>
      <c r="W126" s="227">
        <f>[2]Arkusz1!AB130</f>
        <v>45986</v>
      </c>
      <c r="X126" s="220">
        <f>[2]Arkusz1!AC130</f>
        <v>46174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I126" s="4" t="s">
        <v>546</v>
      </c>
      <c r="AJ126" s="4" t="s">
        <v>307</v>
      </c>
      <c r="AK126" s="4" t="s">
        <v>547</v>
      </c>
      <c r="AL126" s="4">
        <v>14210215037</v>
      </c>
      <c r="AM126" s="4">
        <v>0</v>
      </c>
      <c r="AN126" s="4">
        <v>0</v>
      </c>
      <c r="AP126" s="4">
        <f>[1]Hist!$X136</f>
        <v>0</v>
      </c>
    </row>
    <row r="127" spans="1:42" x14ac:dyDescent="0.2">
      <c r="A127" s="4">
        <v>126</v>
      </c>
      <c r="B127" s="215">
        <f>[2]Arkusz1!B131</f>
        <v>0</v>
      </c>
      <c r="C127" s="44" t="str">
        <f>_xlfn.CONCAT([2]Arkusz1!G131," ",[2]Arkusz1!H131)</f>
        <v xml:space="preserve"> </v>
      </c>
      <c r="F127" s="218"/>
      <c r="G127" s="4">
        <f>[2]Arkusz1!I131</f>
        <v>0</v>
      </c>
      <c r="H127" s="4">
        <f>[2]Arkusz1!J131</f>
        <v>0</v>
      </c>
      <c r="I127" s="213" t="str">
        <f>_xlfn.CONCAT([2]Arkusz1!C131," ",[2]Arkusz1!D131)</f>
        <v xml:space="preserve"> </v>
      </c>
      <c r="J127" s="216">
        <f ca="1">IF(DATEDIF([2]Arkusz1!S131,TODAY(),"Y")&gt;21,0,DATEDIF([2]Arkusz1!S131,TODAY(),"Y"))</f>
        <v>0</v>
      </c>
      <c r="K127" s="4">
        <f>[2]Arkusz1!T131</f>
        <v>0</v>
      </c>
      <c r="L127" s="216">
        <f>[2]Arkusz1!U131</f>
        <v>0</v>
      </c>
      <c r="M127" s="4">
        <f>[2]Arkusz1!P131</f>
        <v>0</v>
      </c>
      <c r="N127" s="4">
        <f>[2]Arkusz1!Q131</f>
        <v>0</v>
      </c>
      <c r="O127" s="4">
        <f>[2]Arkusz1!V131</f>
        <v>0</v>
      </c>
      <c r="P127" s="4">
        <f t="shared" si="2"/>
        <v>176</v>
      </c>
      <c r="Q127" s="4">
        <f>[2]Arkusz1!Y131</f>
        <v>0</v>
      </c>
      <c r="R127" s="4" t="s">
        <v>64</v>
      </c>
      <c r="S127" s="4" t="s">
        <v>64</v>
      </c>
      <c r="T127" s="4">
        <f>[2]Arkusz1!AA131</f>
        <v>0</v>
      </c>
      <c r="U127" s="4" t="str">
        <f>IF([2]Arkusz1!O131=[2]Arkusz1!$O$7,"Z",IF([2]Arkusz1!O131=[2]Arkusz1!$O$15,"Ix3",IF([2]Arkusz1!O131=[2]Arkusz1!$O$20,"Ix1","Ix2")))</f>
        <v>Ix2</v>
      </c>
      <c r="V127" s="4">
        <f>[2]Arkusz1!AM131</f>
        <v>0</v>
      </c>
      <c r="W127" s="227">
        <f>[2]Arkusz1!AB131</f>
        <v>0</v>
      </c>
      <c r="X127" s="220" t="e">
        <f>_xlfn.TEXTBEFORE([2]Arkusz1!AC131," (")</f>
        <v>#N/A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I127" s="4" t="s">
        <v>546</v>
      </c>
      <c r="AJ127" s="4" t="s">
        <v>307</v>
      </c>
      <c r="AK127" s="4" t="s">
        <v>547</v>
      </c>
      <c r="AL127" s="4">
        <v>14210215037</v>
      </c>
      <c r="AM127" s="4">
        <v>0</v>
      </c>
      <c r="AN127" s="4">
        <v>0</v>
      </c>
      <c r="AP127" s="4">
        <f>[1]Hist!$X137</f>
        <v>0</v>
      </c>
    </row>
    <row r="128" spans="1:42" x14ac:dyDescent="0.2">
      <c r="A128" s="4">
        <v>127</v>
      </c>
      <c r="B128" s="215">
        <f>[2]Arkusz1!B132</f>
        <v>0</v>
      </c>
      <c r="C128" s="44" t="str">
        <f>_xlfn.CONCAT([2]Arkusz1!G132," ",[2]Arkusz1!H132)</f>
        <v xml:space="preserve"> </v>
      </c>
      <c r="F128" s="218"/>
      <c r="G128" s="4">
        <f>[2]Arkusz1!I132</f>
        <v>0</v>
      </c>
      <c r="H128" s="4">
        <f>[2]Arkusz1!J132</f>
        <v>0</v>
      </c>
      <c r="I128" s="213" t="str">
        <f>_xlfn.CONCAT([2]Arkusz1!C132," ",[2]Arkusz1!D132)</f>
        <v xml:space="preserve"> </v>
      </c>
      <c r="J128" s="216">
        <f ca="1">IF(DATEDIF([2]Arkusz1!S132,TODAY(),"Y")&gt;21,0,DATEDIF([2]Arkusz1!S132,TODAY(),"Y"))</f>
        <v>0</v>
      </c>
      <c r="K128" s="4">
        <f>[2]Arkusz1!T132</f>
        <v>0</v>
      </c>
      <c r="L128" s="216">
        <f>[2]Arkusz1!U132</f>
        <v>0</v>
      </c>
      <c r="M128" s="4">
        <f>[2]Arkusz1!P132</f>
        <v>0</v>
      </c>
      <c r="N128" s="4">
        <f>[2]Arkusz1!Q132</f>
        <v>0</v>
      </c>
      <c r="O128" s="4">
        <f>[2]Arkusz1!V132</f>
        <v>0</v>
      </c>
      <c r="P128" s="4">
        <f t="shared" si="2"/>
        <v>176</v>
      </c>
      <c r="Q128" s="4">
        <f>[2]Arkusz1!Y132</f>
        <v>0</v>
      </c>
      <c r="R128" s="4" t="s">
        <v>64</v>
      </c>
      <c r="S128" s="4" t="s">
        <v>64</v>
      </c>
      <c r="T128" s="4">
        <f>[2]Arkusz1!AA132</f>
        <v>0</v>
      </c>
      <c r="U128" s="4" t="str">
        <f>IF([2]Arkusz1!O132=[2]Arkusz1!$O$7,"Z",IF([2]Arkusz1!O132=[2]Arkusz1!$O$15,"Ix3",IF([2]Arkusz1!O132=[2]Arkusz1!$O$20,"Ix1","Ix2")))</f>
        <v>Ix2</v>
      </c>
      <c r="V128" s="4">
        <f>[2]Arkusz1!AM132</f>
        <v>0</v>
      </c>
      <c r="W128" s="220">
        <f>[2]Arkusz1!AB132</f>
        <v>0</v>
      </c>
      <c r="X128" s="220" t="e">
        <f>_xlfn.TEXTBEFORE([2]Arkusz1!AC132," (")</f>
        <v>#N/A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I128" s="4" t="s">
        <v>546</v>
      </c>
      <c r="AJ128" s="4" t="s">
        <v>307</v>
      </c>
      <c r="AK128" s="4" t="s">
        <v>547</v>
      </c>
      <c r="AL128" s="4">
        <v>14210215037</v>
      </c>
      <c r="AM128" s="4">
        <v>0</v>
      </c>
      <c r="AN128" s="4">
        <v>0</v>
      </c>
      <c r="AP128" s="4">
        <f>[1]Hist!$X138</f>
        <v>0</v>
      </c>
    </row>
    <row r="129" spans="1:42" x14ac:dyDescent="0.2">
      <c r="A129" s="4">
        <v>128</v>
      </c>
      <c r="B129" s="215">
        <f>[2]Arkusz1!B133</f>
        <v>0</v>
      </c>
      <c r="C129" s="44" t="str">
        <f>_xlfn.CONCAT([2]Arkusz1!G133," ",[2]Arkusz1!H133)</f>
        <v xml:space="preserve"> </v>
      </c>
      <c r="F129" s="218"/>
      <c r="G129" s="4">
        <f>[2]Arkusz1!I133</f>
        <v>0</v>
      </c>
      <c r="H129" s="4">
        <f>[2]Arkusz1!J133</f>
        <v>0</v>
      </c>
      <c r="I129" s="213" t="str">
        <f>_xlfn.CONCAT([2]Arkusz1!C133," ",[2]Arkusz1!D133)</f>
        <v xml:space="preserve"> </v>
      </c>
      <c r="J129" s="216">
        <f ca="1">IF(DATEDIF([2]Arkusz1!S133,TODAY(),"Y")&gt;21,0,DATEDIF([2]Arkusz1!S133,TODAY(),"Y"))</f>
        <v>0</v>
      </c>
      <c r="K129" s="4">
        <f>[2]Arkusz1!T133</f>
        <v>0</v>
      </c>
      <c r="L129" s="216">
        <f>[2]Arkusz1!U133</f>
        <v>0</v>
      </c>
      <c r="M129" s="4">
        <f>[2]Arkusz1!P133</f>
        <v>0</v>
      </c>
      <c r="N129" s="4">
        <f>[2]Arkusz1!Q133</f>
        <v>0</v>
      </c>
      <c r="O129" s="4">
        <f>[2]Arkusz1!V133</f>
        <v>0</v>
      </c>
      <c r="P129" s="4">
        <f t="shared" si="2"/>
        <v>176</v>
      </c>
      <c r="Q129" s="4">
        <f>[2]Arkusz1!Y133</f>
        <v>0</v>
      </c>
      <c r="R129" s="4" t="s">
        <v>64</v>
      </c>
      <c r="S129" s="4" t="s">
        <v>64</v>
      </c>
      <c r="T129" s="4">
        <f>[2]Arkusz1!AA133</f>
        <v>0</v>
      </c>
      <c r="U129" s="4" t="str">
        <f>IF([2]Arkusz1!O133=[2]Arkusz1!$O$7,"Z",IF([2]Arkusz1!O133=[2]Arkusz1!$O$15,"Ix3",IF([2]Arkusz1!O133=[2]Arkusz1!$O$20,"Ix1","Ix2")))</f>
        <v>Ix2</v>
      </c>
      <c r="V129" s="4">
        <f>[2]Arkusz1!AM133</f>
        <v>0</v>
      </c>
      <c r="W129" s="220">
        <f>[2]Arkusz1!AB133</f>
        <v>0</v>
      </c>
      <c r="X129" s="220" t="e">
        <f>_xlfn.TEXTBEFORE([2]Arkusz1!AC133," (")</f>
        <v>#N/A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I129" s="4" t="s">
        <v>546</v>
      </c>
      <c r="AJ129" s="4" t="s">
        <v>307</v>
      </c>
      <c r="AK129" s="4" t="s">
        <v>547</v>
      </c>
      <c r="AL129" s="4">
        <v>14210215037</v>
      </c>
      <c r="AM129" s="4">
        <v>0</v>
      </c>
      <c r="AN129" s="4">
        <v>0</v>
      </c>
      <c r="AP129" s="4">
        <f>[1]Hist!$X139</f>
        <v>0</v>
      </c>
    </row>
    <row r="130" spans="1:42" x14ac:dyDescent="0.2">
      <c r="A130" s="4">
        <v>129</v>
      </c>
      <c r="B130" s="215">
        <f>[2]Arkusz1!B134</f>
        <v>0</v>
      </c>
      <c r="C130" s="44" t="str">
        <f>_xlfn.CONCAT([2]Arkusz1!G134," ",[2]Arkusz1!H134)</f>
        <v xml:space="preserve"> </v>
      </c>
      <c r="F130" s="218"/>
      <c r="G130" s="4">
        <f>[2]Arkusz1!I134</f>
        <v>0</v>
      </c>
      <c r="H130" s="4">
        <f>[2]Arkusz1!J134</f>
        <v>0</v>
      </c>
      <c r="I130" s="213" t="str">
        <f>_xlfn.CONCAT([2]Arkusz1!C134," ",[2]Arkusz1!D134)</f>
        <v xml:space="preserve"> </v>
      </c>
      <c r="J130" s="216">
        <f ca="1">IF(DATEDIF([2]Arkusz1!S134,TODAY(),"Y")&gt;21,0,DATEDIF([2]Arkusz1!S134,TODAY(),"Y"))</f>
        <v>0</v>
      </c>
      <c r="K130" s="4">
        <f>[2]Arkusz1!T134</f>
        <v>0</v>
      </c>
      <c r="L130" s="216">
        <f>[2]Arkusz1!U134</f>
        <v>0</v>
      </c>
      <c r="M130" s="4">
        <f>[2]Arkusz1!P134</f>
        <v>0</v>
      </c>
      <c r="N130" s="4">
        <f>[2]Arkusz1!Q134</f>
        <v>0</v>
      </c>
      <c r="O130" s="4">
        <f>[2]Arkusz1!V134</f>
        <v>0</v>
      </c>
      <c r="P130" s="4">
        <f t="shared" si="2"/>
        <v>176</v>
      </c>
      <c r="Q130" s="4">
        <f>[2]Arkusz1!Y134</f>
        <v>0</v>
      </c>
      <c r="R130" s="4" t="s">
        <v>64</v>
      </c>
      <c r="S130" s="4" t="s">
        <v>64</v>
      </c>
      <c r="T130" s="4">
        <f>[2]Arkusz1!AA134</f>
        <v>0</v>
      </c>
      <c r="U130" s="4" t="str">
        <f>IF([2]Arkusz1!O134=[2]Arkusz1!$O$7,"Z",IF([2]Arkusz1!O134=[2]Arkusz1!$O$15,"Ix3",IF([2]Arkusz1!O134=[2]Arkusz1!$O$20,"Ix1","Ix2")))</f>
        <v>Ix2</v>
      </c>
      <c r="V130" s="4">
        <f>[2]Arkusz1!AM134</f>
        <v>0</v>
      </c>
      <c r="W130" s="220">
        <f>[2]Arkusz1!AB134</f>
        <v>0</v>
      </c>
      <c r="X130" s="220" t="e">
        <f>_xlfn.TEXTBEFORE([2]Arkusz1!AC134," (")</f>
        <v>#N/A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I130" s="4" t="s">
        <v>546</v>
      </c>
      <c r="AJ130" s="4" t="s">
        <v>307</v>
      </c>
      <c r="AK130" s="4" t="s">
        <v>547</v>
      </c>
      <c r="AL130" s="4">
        <v>14210215037</v>
      </c>
      <c r="AM130" s="4">
        <v>0</v>
      </c>
      <c r="AN130" s="4">
        <v>0</v>
      </c>
      <c r="AP130" s="4">
        <f>[1]Hist!$X140</f>
        <v>0</v>
      </c>
    </row>
    <row r="131" spans="1:42" x14ac:dyDescent="0.2">
      <c r="A131" s="4">
        <v>130</v>
      </c>
      <c r="B131" s="215">
        <f>[2]Arkusz1!B135</f>
        <v>0</v>
      </c>
      <c r="C131" s="44" t="str">
        <f>_xlfn.CONCAT([2]Arkusz1!G135," ",[2]Arkusz1!H135)</f>
        <v xml:space="preserve"> </v>
      </c>
      <c r="F131" s="218"/>
      <c r="G131" s="4">
        <f>[2]Arkusz1!I135</f>
        <v>0</v>
      </c>
      <c r="H131" s="4">
        <f>[2]Arkusz1!J135</f>
        <v>0</v>
      </c>
      <c r="I131" s="213" t="str">
        <f>_xlfn.CONCAT([2]Arkusz1!C135," ",[2]Arkusz1!D135)</f>
        <v xml:space="preserve"> </v>
      </c>
      <c r="J131" s="216">
        <f ca="1">IF(DATEDIF([2]Arkusz1!S135,TODAY(),"Y")&gt;21,0,DATEDIF([2]Arkusz1!S135,TODAY(),"Y"))</f>
        <v>0</v>
      </c>
      <c r="K131" s="4">
        <f>[2]Arkusz1!T135</f>
        <v>0</v>
      </c>
      <c r="L131" s="216">
        <f>[2]Arkusz1!U135</f>
        <v>0</v>
      </c>
      <c r="M131" s="4">
        <f>[2]Arkusz1!P135</f>
        <v>0</v>
      </c>
      <c r="N131" s="4">
        <f>[2]Arkusz1!Q135</f>
        <v>0</v>
      </c>
      <c r="O131" s="4">
        <f>[2]Arkusz1!V135</f>
        <v>0</v>
      </c>
      <c r="P131" s="4">
        <f t="shared" ref="P131:P194" si="4">COUNTIFS($C$3:$C$302,C131)</f>
        <v>176</v>
      </c>
      <c r="Q131" s="4">
        <f>[2]Arkusz1!Y135</f>
        <v>0</v>
      </c>
      <c r="R131" s="4" t="s">
        <v>64</v>
      </c>
      <c r="S131" s="4" t="s">
        <v>64</v>
      </c>
      <c r="T131" s="4">
        <f>[2]Arkusz1!AA135</f>
        <v>0</v>
      </c>
      <c r="U131" s="4" t="str">
        <f>IF([2]Arkusz1!O135=[2]Arkusz1!$O$7,"Z",IF([2]Arkusz1!O135=[2]Arkusz1!$O$15,"Ix3",IF([2]Arkusz1!O135=[2]Arkusz1!$O$20,"Ix1","Ix2")))</f>
        <v>Ix2</v>
      </c>
      <c r="V131" s="4">
        <f>[2]Arkusz1!AM135</f>
        <v>0</v>
      </c>
      <c r="W131" s="4">
        <f>[2]Arkusz1!AB135</f>
        <v>0</v>
      </c>
      <c r="X131" s="220" t="e">
        <f>_xlfn.TEXTBEFORE([2]Arkusz1!AC135," (")</f>
        <v>#N/A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I131" s="4" t="s">
        <v>546</v>
      </c>
      <c r="AJ131" s="4" t="s">
        <v>307</v>
      </c>
      <c r="AK131" s="4" t="s">
        <v>547</v>
      </c>
      <c r="AL131" s="4">
        <v>14210215037</v>
      </c>
      <c r="AM131" s="4">
        <v>0</v>
      </c>
      <c r="AN131" s="4">
        <v>0</v>
      </c>
      <c r="AP131" s="4">
        <f>[1]Hist!$X141</f>
        <v>0</v>
      </c>
    </row>
    <row r="132" spans="1:42" x14ac:dyDescent="0.2">
      <c r="A132" s="4">
        <v>131</v>
      </c>
      <c r="B132" s="215">
        <f>[2]Arkusz1!B136</f>
        <v>0</v>
      </c>
      <c r="C132" s="44" t="str">
        <f>_xlfn.CONCAT([2]Arkusz1!G136," ",[2]Arkusz1!H136)</f>
        <v xml:space="preserve"> </v>
      </c>
      <c r="F132" s="218"/>
      <c r="G132" s="4">
        <f>[2]Arkusz1!I136</f>
        <v>0</v>
      </c>
      <c r="H132" s="4">
        <f>[2]Arkusz1!J136</f>
        <v>0</v>
      </c>
      <c r="I132" s="213" t="str">
        <f>_xlfn.CONCAT([2]Arkusz1!C136," ",[2]Arkusz1!D136)</f>
        <v xml:space="preserve"> </v>
      </c>
      <c r="J132" s="216">
        <f ca="1">IF(DATEDIF([2]Arkusz1!S136,TODAY(),"Y")&gt;21,0,DATEDIF([2]Arkusz1!S136,TODAY(),"Y"))</f>
        <v>0</v>
      </c>
      <c r="K132" s="4">
        <f>[2]Arkusz1!T136</f>
        <v>0</v>
      </c>
      <c r="L132" s="216">
        <f>[2]Arkusz1!U136</f>
        <v>0</v>
      </c>
      <c r="M132" s="4">
        <f>[2]Arkusz1!P136</f>
        <v>0</v>
      </c>
      <c r="N132" s="4">
        <f>[2]Arkusz1!Q136</f>
        <v>0</v>
      </c>
      <c r="O132" s="4">
        <f>[2]Arkusz1!V136</f>
        <v>0</v>
      </c>
      <c r="P132" s="4">
        <f t="shared" si="4"/>
        <v>176</v>
      </c>
      <c r="Q132" s="4">
        <f>[2]Arkusz1!Y136</f>
        <v>0</v>
      </c>
      <c r="R132" s="4" t="s">
        <v>64</v>
      </c>
      <c r="S132" s="4" t="s">
        <v>64</v>
      </c>
      <c r="T132" s="4">
        <f>[2]Arkusz1!AA136</f>
        <v>0</v>
      </c>
      <c r="U132" s="4" t="str">
        <f>IF([2]Arkusz1!O136=[2]Arkusz1!$O$7,"Z",IF([2]Arkusz1!O136=[2]Arkusz1!$O$15,"Ix3",IF([2]Arkusz1!O136=[2]Arkusz1!$O$20,"Ix1","Ix2")))</f>
        <v>Ix2</v>
      </c>
      <c r="V132" s="4">
        <f>[2]Arkusz1!AM136</f>
        <v>0</v>
      </c>
      <c r="W132" s="4">
        <f>[2]Arkusz1!AB136</f>
        <v>0</v>
      </c>
      <c r="X132" s="4" t="e">
        <f>_xlfn.TEXTBEFORE([2]Arkusz1!AC136," (")</f>
        <v>#N/A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I132" s="4" t="s">
        <v>546</v>
      </c>
      <c r="AJ132" s="4" t="s">
        <v>307</v>
      </c>
      <c r="AK132" s="4" t="s">
        <v>547</v>
      </c>
      <c r="AL132" s="4">
        <v>14210215037</v>
      </c>
      <c r="AM132" s="4">
        <v>0</v>
      </c>
      <c r="AN132" s="4">
        <v>0</v>
      </c>
      <c r="AP132" s="4">
        <f>[1]Hist!$X142</f>
        <v>0</v>
      </c>
    </row>
    <row r="133" spans="1:42" x14ac:dyDescent="0.2">
      <c r="A133" s="4">
        <v>132</v>
      </c>
      <c r="B133" s="215">
        <f>[2]Arkusz1!B137</f>
        <v>0</v>
      </c>
      <c r="C133" s="44" t="str">
        <f>_xlfn.CONCAT([2]Arkusz1!G137," ",[2]Arkusz1!H137)</f>
        <v xml:space="preserve"> </v>
      </c>
      <c r="F133" s="218"/>
      <c r="G133" s="4">
        <f>[2]Arkusz1!I137</f>
        <v>0</v>
      </c>
      <c r="H133" s="4">
        <f>[2]Arkusz1!J137</f>
        <v>0</v>
      </c>
      <c r="I133" s="213" t="str">
        <f>_xlfn.CONCAT([2]Arkusz1!C137," ",[2]Arkusz1!D137)</f>
        <v xml:space="preserve"> </v>
      </c>
      <c r="J133" s="216">
        <f ca="1">IF(DATEDIF([2]Arkusz1!S137,TODAY(),"Y")&gt;21,0,DATEDIF([2]Arkusz1!S137,TODAY(),"Y"))</f>
        <v>0</v>
      </c>
      <c r="K133" s="4">
        <f>[2]Arkusz1!T137</f>
        <v>0</v>
      </c>
      <c r="L133" s="216">
        <f>[2]Arkusz1!U137</f>
        <v>0</v>
      </c>
      <c r="M133" s="4">
        <f>[2]Arkusz1!P137</f>
        <v>0</v>
      </c>
      <c r="N133" s="4">
        <f>[2]Arkusz1!Q137</f>
        <v>0</v>
      </c>
      <c r="O133" s="4">
        <f>[2]Arkusz1!V137</f>
        <v>0</v>
      </c>
      <c r="P133" s="4">
        <f t="shared" si="4"/>
        <v>176</v>
      </c>
      <c r="Q133" s="4">
        <f>[2]Arkusz1!Y137</f>
        <v>0</v>
      </c>
      <c r="R133" s="4" t="s">
        <v>64</v>
      </c>
      <c r="S133" s="4" t="s">
        <v>64</v>
      </c>
      <c r="T133" s="4">
        <f>[2]Arkusz1!AA137</f>
        <v>0</v>
      </c>
      <c r="U133" s="4" t="str">
        <f>IF([2]Arkusz1!O137=[2]Arkusz1!$O$7,"Z",IF([2]Arkusz1!O137=[2]Arkusz1!$O$15,"Ix3",IF([2]Arkusz1!O137=[2]Arkusz1!$O$20,"Ix1","Ix2")))</f>
        <v>Ix2</v>
      </c>
      <c r="V133" s="4">
        <f>[2]Arkusz1!AM137</f>
        <v>0</v>
      </c>
      <c r="W133" s="4">
        <f>[2]Arkusz1!AB137</f>
        <v>0</v>
      </c>
      <c r="X133" s="4" t="e">
        <f>_xlfn.TEXTBEFORE([2]Arkusz1!AC137," (")</f>
        <v>#N/A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I133" s="4" t="s">
        <v>546</v>
      </c>
      <c r="AJ133" s="4" t="s">
        <v>307</v>
      </c>
      <c r="AK133" s="4" t="s">
        <v>547</v>
      </c>
      <c r="AL133" s="4">
        <v>14210215037</v>
      </c>
      <c r="AM133" s="4">
        <v>0</v>
      </c>
      <c r="AN133" s="4">
        <v>0</v>
      </c>
      <c r="AP133" s="4">
        <f>[1]Hist!$X143</f>
        <v>0</v>
      </c>
    </row>
    <row r="134" spans="1:42" x14ac:dyDescent="0.2">
      <c r="A134" s="4">
        <v>133</v>
      </c>
      <c r="B134" s="215">
        <f>[2]Arkusz1!B138</f>
        <v>0</v>
      </c>
      <c r="C134" s="44" t="str">
        <f>_xlfn.CONCAT([2]Arkusz1!G138," ",[2]Arkusz1!H138)</f>
        <v xml:space="preserve"> </v>
      </c>
      <c r="F134" s="218"/>
      <c r="G134" s="4">
        <f>[2]Arkusz1!I138</f>
        <v>0</v>
      </c>
      <c r="H134" s="4">
        <f>[2]Arkusz1!J138</f>
        <v>0</v>
      </c>
      <c r="I134" s="213" t="str">
        <f>_xlfn.CONCAT([2]Arkusz1!C138," ",[2]Arkusz1!D138)</f>
        <v xml:space="preserve"> </v>
      </c>
      <c r="J134" s="216">
        <f ca="1">IF(DATEDIF([2]Arkusz1!S138,TODAY(),"Y")&gt;21,0,DATEDIF([2]Arkusz1!S138,TODAY(),"Y"))</f>
        <v>0</v>
      </c>
      <c r="K134" s="4">
        <f>[2]Arkusz1!T138</f>
        <v>0</v>
      </c>
      <c r="L134" s="216">
        <f>[2]Arkusz1!U138</f>
        <v>0</v>
      </c>
      <c r="M134" s="4">
        <f>[2]Arkusz1!P138</f>
        <v>0</v>
      </c>
      <c r="N134" s="4">
        <f>[2]Arkusz1!Q138</f>
        <v>0</v>
      </c>
      <c r="O134" s="4">
        <f>[2]Arkusz1!V138</f>
        <v>0</v>
      </c>
      <c r="P134" s="4">
        <f t="shared" si="4"/>
        <v>176</v>
      </c>
      <c r="Q134" s="4">
        <f>[2]Arkusz1!Y138</f>
        <v>0</v>
      </c>
      <c r="R134" s="4" t="s">
        <v>64</v>
      </c>
      <c r="S134" s="4" t="s">
        <v>64</v>
      </c>
      <c r="T134" s="4">
        <f>[2]Arkusz1!AA138</f>
        <v>0</v>
      </c>
      <c r="U134" s="4" t="str">
        <f>IF([2]Arkusz1!O138=[2]Arkusz1!$O$7,"Z",IF([2]Arkusz1!O138=[2]Arkusz1!$O$15,"Ix3",IF([2]Arkusz1!O138=[2]Arkusz1!$O$20,"Ix1","Ix2")))</f>
        <v>Ix2</v>
      </c>
      <c r="V134" s="4">
        <f>[2]Arkusz1!AM138</f>
        <v>0</v>
      </c>
      <c r="W134" s="4">
        <f>[2]Arkusz1!AB138</f>
        <v>0</v>
      </c>
      <c r="X134" s="4" t="e">
        <f>_xlfn.TEXTBEFORE([2]Arkusz1!AC138," (")</f>
        <v>#N/A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I134" s="4" t="s">
        <v>546</v>
      </c>
      <c r="AJ134" s="4" t="s">
        <v>307</v>
      </c>
      <c r="AK134" s="4" t="s">
        <v>547</v>
      </c>
      <c r="AL134" s="4">
        <v>14210215037</v>
      </c>
      <c r="AM134" s="4">
        <v>0</v>
      </c>
      <c r="AN134" s="4">
        <v>0</v>
      </c>
      <c r="AP134" s="4">
        <f>[1]Hist!$X144</f>
        <v>0</v>
      </c>
    </row>
    <row r="135" spans="1:42" x14ac:dyDescent="0.2">
      <c r="A135" s="4">
        <v>134</v>
      </c>
      <c r="B135" s="215">
        <f>[2]Arkusz1!B139</f>
        <v>0</v>
      </c>
      <c r="C135" s="44" t="str">
        <f>_xlfn.CONCAT([2]Arkusz1!G139," ",[2]Arkusz1!H139)</f>
        <v xml:space="preserve"> </v>
      </c>
      <c r="F135" s="218"/>
      <c r="G135" s="4">
        <f>[2]Arkusz1!I139</f>
        <v>0</v>
      </c>
      <c r="H135" s="4">
        <f>[2]Arkusz1!J139</f>
        <v>0</v>
      </c>
      <c r="I135" s="213" t="str">
        <f>_xlfn.CONCAT([2]Arkusz1!C139," ",[2]Arkusz1!D139)</f>
        <v xml:space="preserve"> </v>
      </c>
      <c r="J135" s="216">
        <f ca="1">IF(DATEDIF([2]Arkusz1!S139,TODAY(),"Y")&gt;21,0,DATEDIF([2]Arkusz1!S139,TODAY(),"Y"))</f>
        <v>0</v>
      </c>
      <c r="K135" s="4">
        <f>[2]Arkusz1!T139</f>
        <v>0</v>
      </c>
      <c r="L135" s="216">
        <f>[2]Arkusz1!U139</f>
        <v>0</v>
      </c>
      <c r="M135" s="4">
        <f>[2]Arkusz1!P139</f>
        <v>0</v>
      </c>
      <c r="N135" s="4">
        <f>[2]Arkusz1!Q139</f>
        <v>0</v>
      </c>
      <c r="O135" s="4">
        <f>[2]Arkusz1!V139</f>
        <v>0</v>
      </c>
      <c r="P135" s="4">
        <f t="shared" si="4"/>
        <v>176</v>
      </c>
      <c r="Q135" s="4">
        <f>[2]Arkusz1!Y139</f>
        <v>0</v>
      </c>
      <c r="R135" s="4" t="s">
        <v>64</v>
      </c>
      <c r="S135" s="4" t="s">
        <v>64</v>
      </c>
      <c r="T135" s="4">
        <f>[2]Arkusz1!AA139</f>
        <v>0</v>
      </c>
      <c r="U135" s="4" t="str">
        <f>IF([2]Arkusz1!O139=[2]Arkusz1!$O$7,"Z",IF([2]Arkusz1!O139=[2]Arkusz1!$O$15,"Ix3",IF([2]Arkusz1!O139=[2]Arkusz1!$O$20,"Ix1","Ix2")))</f>
        <v>Ix2</v>
      </c>
      <c r="V135" s="4">
        <f>[2]Arkusz1!AM139</f>
        <v>0</v>
      </c>
      <c r="W135" s="4">
        <f>[2]Arkusz1!AB139</f>
        <v>0</v>
      </c>
      <c r="X135" s="4" t="e">
        <f>_xlfn.TEXTBEFORE([2]Arkusz1!AC139," (")</f>
        <v>#N/A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I135" s="4" t="s">
        <v>546</v>
      </c>
      <c r="AJ135" s="4" t="s">
        <v>307</v>
      </c>
      <c r="AK135" s="4" t="s">
        <v>547</v>
      </c>
      <c r="AL135" s="4">
        <v>14210215037</v>
      </c>
      <c r="AM135" s="4">
        <v>0</v>
      </c>
      <c r="AN135" s="4">
        <v>0</v>
      </c>
      <c r="AP135" s="4">
        <f>[1]Hist!$X145</f>
        <v>0</v>
      </c>
    </row>
    <row r="136" spans="1:42" x14ac:dyDescent="0.2">
      <c r="A136" s="4">
        <v>135</v>
      </c>
      <c r="B136" s="215">
        <f>[2]Arkusz1!B140</f>
        <v>0</v>
      </c>
      <c r="C136" s="44" t="str">
        <f>_xlfn.CONCAT([2]Arkusz1!G140," ",[2]Arkusz1!H140)</f>
        <v xml:space="preserve"> </v>
      </c>
      <c r="F136" s="218"/>
      <c r="G136" s="4">
        <f>[2]Arkusz1!I140</f>
        <v>0</v>
      </c>
      <c r="H136" s="4">
        <f>[2]Arkusz1!J140</f>
        <v>0</v>
      </c>
      <c r="I136" s="213" t="str">
        <f>_xlfn.CONCAT([2]Arkusz1!C140," ",[2]Arkusz1!D140)</f>
        <v xml:space="preserve"> </v>
      </c>
      <c r="J136" s="216">
        <f ca="1">IF(DATEDIF([2]Arkusz1!S140,TODAY(),"Y")&gt;21,0,DATEDIF([2]Arkusz1!S140,TODAY(),"Y"))</f>
        <v>0</v>
      </c>
      <c r="K136" s="4">
        <f>[2]Arkusz1!T140</f>
        <v>0</v>
      </c>
      <c r="L136" s="216">
        <f>[2]Arkusz1!U140</f>
        <v>0</v>
      </c>
      <c r="M136" s="4">
        <f>[2]Arkusz1!P140</f>
        <v>0</v>
      </c>
      <c r="N136" s="4">
        <f>[2]Arkusz1!Q140</f>
        <v>0</v>
      </c>
      <c r="O136" s="4">
        <f>[2]Arkusz1!V140</f>
        <v>0</v>
      </c>
      <c r="P136" s="4">
        <f t="shared" si="4"/>
        <v>176</v>
      </c>
      <c r="Q136" s="4">
        <f>[2]Arkusz1!Y140</f>
        <v>0</v>
      </c>
      <c r="R136" s="4" t="s">
        <v>64</v>
      </c>
      <c r="S136" s="4" t="s">
        <v>64</v>
      </c>
      <c r="T136" s="4">
        <f>[2]Arkusz1!AA140</f>
        <v>0</v>
      </c>
      <c r="U136" s="4" t="str">
        <f>IF([2]Arkusz1!O140=[2]Arkusz1!$O$7,"Z",IF([2]Arkusz1!O140=[2]Arkusz1!$O$15,"Ix3",IF([2]Arkusz1!O140=[2]Arkusz1!$O$20,"Ix1","Ix2")))</f>
        <v>Ix2</v>
      </c>
      <c r="V136" s="4">
        <f>[2]Arkusz1!AM140</f>
        <v>0</v>
      </c>
      <c r="W136" s="4">
        <f>[2]Arkusz1!AB140</f>
        <v>0</v>
      </c>
      <c r="X136" s="4" t="e">
        <f>_xlfn.TEXTBEFORE([2]Arkusz1!AC140," (")</f>
        <v>#N/A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I136" s="4" t="s">
        <v>546</v>
      </c>
      <c r="AJ136" s="4" t="s">
        <v>307</v>
      </c>
      <c r="AK136" s="4" t="s">
        <v>547</v>
      </c>
      <c r="AL136" s="4">
        <v>14210215037</v>
      </c>
      <c r="AM136" s="4">
        <v>0</v>
      </c>
      <c r="AN136" s="4">
        <v>0</v>
      </c>
      <c r="AP136" s="4">
        <f>[1]Hist!$X146</f>
        <v>0</v>
      </c>
    </row>
    <row r="137" spans="1:42" x14ac:dyDescent="0.2">
      <c r="A137" s="4">
        <v>136</v>
      </c>
      <c r="B137" s="215">
        <f>[2]Arkusz1!B141</f>
        <v>0</v>
      </c>
      <c r="C137" s="44" t="str">
        <f>_xlfn.CONCAT([2]Arkusz1!G141," ",[2]Arkusz1!H141)</f>
        <v xml:space="preserve"> </v>
      </c>
      <c r="F137" s="218"/>
      <c r="G137" s="4">
        <f>[2]Arkusz1!I141</f>
        <v>0</v>
      </c>
      <c r="H137" s="4">
        <f>[2]Arkusz1!J141</f>
        <v>0</v>
      </c>
      <c r="I137" s="213" t="str">
        <f>_xlfn.CONCAT([2]Arkusz1!C141," ",[2]Arkusz1!D141)</f>
        <v xml:space="preserve"> </v>
      </c>
      <c r="J137" s="216">
        <f ca="1">IF(DATEDIF([2]Arkusz1!S141,TODAY(),"Y")&gt;21,0,DATEDIF([2]Arkusz1!S141,TODAY(),"Y"))</f>
        <v>0</v>
      </c>
      <c r="K137" s="4">
        <f>[2]Arkusz1!T141</f>
        <v>0</v>
      </c>
      <c r="L137" s="216">
        <f>[2]Arkusz1!U141</f>
        <v>0</v>
      </c>
      <c r="M137" s="4">
        <f>[2]Arkusz1!P141</f>
        <v>0</v>
      </c>
      <c r="N137" s="4">
        <f>[2]Arkusz1!Q141</f>
        <v>0</v>
      </c>
      <c r="O137" s="4">
        <f>[2]Arkusz1!V141</f>
        <v>0</v>
      </c>
      <c r="P137" s="4">
        <f t="shared" si="4"/>
        <v>176</v>
      </c>
      <c r="Q137" s="4">
        <f>[2]Arkusz1!Y141</f>
        <v>0</v>
      </c>
      <c r="R137" s="4" t="s">
        <v>64</v>
      </c>
      <c r="S137" s="4" t="s">
        <v>64</v>
      </c>
      <c r="T137" s="4">
        <f>[2]Arkusz1!AA141</f>
        <v>0</v>
      </c>
      <c r="U137" s="4" t="str">
        <f>IF([2]Arkusz1!O141=[2]Arkusz1!$O$7,"Z",IF([2]Arkusz1!O141=[2]Arkusz1!$O$15,"Ix3",IF([2]Arkusz1!O141=[2]Arkusz1!$O$20,"Ix1","Ix2")))</f>
        <v>Ix2</v>
      </c>
      <c r="V137" s="4">
        <f>[2]Arkusz1!AM141</f>
        <v>0</v>
      </c>
      <c r="W137" s="4">
        <f>[2]Arkusz1!AB141</f>
        <v>0</v>
      </c>
      <c r="X137" s="4" t="e">
        <f>_xlfn.TEXTBEFORE([2]Arkusz1!AC141," (")</f>
        <v>#N/A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I137" s="4" t="s">
        <v>546</v>
      </c>
      <c r="AJ137" s="4" t="s">
        <v>307</v>
      </c>
      <c r="AK137" s="4" t="s">
        <v>547</v>
      </c>
      <c r="AL137" s="4">
        <v>14210215037</v>
      </c>
      <c r="AM137" s="4">
        <v>0</v>
      </c>
      <c r="AN137" s="4">
        <v>0</v>
      </c>
      <c r="AP137" s="4">
        <f>[1]Hist!$X147</f>
        <v>0</v>
      </c>
    </row>
    <row r="138" spans="1:42" x14ac:dyDescent="0.2">
      <c r="A138" s="4">
        <v>137</v>
      </c>
      <c r="B138" s="215">
        <f>[2]Arkusz1!B142</f>
        <v>0</v>
      </c>
      <c r="C138" s="44" t="str">
        <f>_xlfn.CONCAT([2]Arkusz1!G142," ",[2]Arkusz1!H142)</f>
        <v xml:space="preserve"> </v>
      </c>
      <c r="F138" s="218"/>
      <c r="G138" s="4">
        <f>[2]Arkusz1!I142</f>
        <v>0</v>
      </c>
      <c r="H138" s="4">
        <f>[2]Arkusz1!J142</f>
        <v>0</v>
      </c>
      <c r="I138" s="213" t="str">
        <f>_xlfn.CONCAT([2]Arkusz1!C142," ",[2]Arkusz1!D142)</f>
        <v xml:space="preserve"> </v>
      </c>
      <c r="J138" s="216">
        <f ca="1">IF(DATEDIF([2]Arkusz1!S142,TODAY(),"Y")&gt;21,0,DATEDIF([2]Arkusz1!S142,TODAY(),"Y"))</f>
        <v>0</v>
      </c>
      <c r="K138" s="4">
        <f>[2]Arkusz1!T142</f>
        <v>0</v>
      </c>
      <c r="L138" s="216">
        <f>[2]Arkusz1!U142</f>
        <v>0</v>
      </c>
      <c r="M138" s="4">
        <f>[2]Arkusz1!P142</f>
        <v>0</v>
      </c>
      <c r="N138" s="4">
        <f>[2]Arkusz1!Q142</f>
        <v>0</v>
      </c>
      <c r="O138" s="4">
        <f>[2]Arkusz1!V142</f>
        <v>0</v>
      </c>
      <c r="P138" s="4">
        <f t="shared" si="4"/>
        <v>176</v>
      </c>
      <c r="Q138" s="4">
        <f>[2]Arkusz1!Y142</f>
        <v>0</v>
      </c>
      <c r="R138" s="4" t="s">
        <v>64</v>
      </c>
      <c r="S138" s="4" t="s">
        <v>64</v>
      </c>
      <c r="T138" s="4">
        <f>[2]Arkusz1!AA142</f>
        <v>0</v>
      </c>
      <c r="U138" s="4" t="str">
        <f>IF([2]Arkusz1!O142=[2]Arkusz1!$O$7,"Z",IF([2]Arkusz1!O142=[2]Arkusz1!$O$15,"Ix3",IF([2]Arkusz1!O142=[2]Arkusz1!$O$20,"Ix1","Ix2")))</f>
        <v>Ix2</v>
      </c>
      <c r="V138" s="4">
        <f>[2]Arkusz1!AM142</f>
        <v>0</v>
      </c>
      <c r="W138" s="4">
        <f>[2]Arkusz1!AB142</f>
        <v>0</v>
      </c>
      <c r="X138" s="4" t="e">
        <f>_xlfn.TEXTBEFORE([2]Arkusz1!AC142," (")</f>
        <v>#N/A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I138" s="4" t="s">
        <v>546</v>
      </c>
      <c r="AJ138" s="4" t="s">
        <v>307</v>
      </c>
      <c r="AK138" s="4" t="s">
        <v>547</v>
      </c>
      <c r="AL138" s="4">
        <v>14210215037</v>
      </c>
      <c r="AM138" s="4">
        <v>0</v>
      </c>
      <c r="AN138" s="4">
        <v>0</v>
      </c>
      <c r="AP138" s="4">
        <f>[1]Hist!$X148</f>
        <v>0</v>
      </c>
    </row>
    <row r="139" spans="1:42" x14ac:dyDescent="0.2">
      <c r="A139" s="4">
        <v>138</v>
      </c>
      <c r="B139" s="215">
        <f>[2]Arkusz1!B143</f>
        <v>0</v>
      </c>
      <c r="C139" s="44" t="str">
        <f>_xlfn.CONCAT([2]Arkusz1!G143," ",[2]Arkusz1!H143)</f>
        <v xml:space="preserve"> </v>
      </c>
      <c r="F139" s="218"/>
      <c r="G139" s="4">
        <f>[2]Arkusz1!I143</f>
        <v>0</v>
      </c>
      <c r="H139" s="4">
        <f>[2]Arkusz1!J143</f>
        <v>0</v>
      </c>
      <c r="I139" s="213" t="str">
        <f>_xlfn.CONCAT([2]Arkusz1!C143," ",[2]Arkusz1!D143)</f>
        <v xml:space="preserve"> </v>
      </c>
      <c r="J139" s="216">
        <f ca="1">IF(DATEDIF([2]Arkusz1!S143,TODAY(),"Y")&gt;21,0,DATEDIF([2]Arkusz1!S143,TODAY(),"Y"))</f>
        <v>0</v>
      </c>
      <c r="K139" s="4">
        <f>[2]Arkusz1!T143</f>
        <v>0</v>
      </c>
      <c r="L139" s="216">
        <f>[2]Arkusz1!U143</f>
        <v>0</v>
      </c>
      <c r="M139" s="4">
        <f>[2]Arkusz1!P143</f>
        <v>0</v>
      </c>
      <c r="N139" s="4">
        <f>[2]Arkusz1!Q143</f>
        <v>0</v>
      </c>
      <c r="O139" s="4">
        <f>[2]Arkusz1!V143</f>
        <v>0</v>
      </c>
      <c r="P139" s="4">
        <f t="shared" si="4"/>
        <v>176</v>
      </c>
      <c r="Q139" s="4">
        <f>[2]Arkusz1!Y143</f>
        <v>0</v>
      </c>
      <c r="R139" s="4" t="s">
        <v>64</v>
      </c>
      <c r="S139" s="4" t="s">
        <v>64</v>
      </c>
      <c r="T139" s="4">
        <f>[2]Arkusz1!AA143</f>
        <v>0</v>
      </c>
      <c r="U139" s="4" t="str">
        <f>IF([2]Arkusz1!O143=[2]Arkusz1!$O$7,"Z",IF([2]Arkusz1!O143=[2]Arkusz1!$O$15,"Ix3",IF([2]Arkusz1!O143=[2]Arkusz1!$O$20,"Ix1","Ix2")))</f>
        <v>Ix2</v>
      </c>
      <c r="V139" s="4">
        <f>[2]Arkusz1!AM143</f>
        <v>0</v>
      </c>
      <c r="W139" s="4">
        <f>[2]Arkusz1!AB143</f>
        <v>0</v>
      </c>
      <c r="X139" s="4" t="e">
        <f>_xlfn.TEXTBEFORE([2]Arkusz1!AC143," (")</f>
        <v>#N/A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I139" s="4" t="s">
        <v>546</v>
      </c>
      <c r="AJ139" s="4" t="s">
        <v>307</v>
      </c>
      <c r="AK139" s="4" t="s">
        <v>547</v>
      </c>
      <c r="AL139" s="4">
        <v>14210215037</v>
      </c>
      <c r="AM139" s="4">
        <v>0</v>
      </c>
      <c r="AN139" s="4">
        <v>0</v>
      </c>
      <c r="AP139" s="4">
        <f>[1]Hist!$X149</f>
        <v>0</v>
      </c>
    </row>
    <row r="140" spans="1:42" x14ac:dyDescent="0.2">
      <c r="A140" s="4">
        <v>139</v>
      </c>
      <c r="B140" s="215">
        <f>[2]Arkusz1!B144</f>
        <v>0</v>
      </c>
      <c r="C140" s="44" t="str">
        <f>_xlfn.CONCAT([2]Arkusz1!G144," ",[2]Arkusz1!H144)</f>
        <v xml:space="preserve"> </v>
      </c>
      <c r="F140" s="218"/>
      <c r="G140" s="4">
        <f>[2]Arkusz1!I144</f>
        <v>0</v>
      </c>
      <c r="H140" s="4">
        <f>[2]Arkusz1!J144</f>
        <v>0</v>
      </c>
      <c r="I140" s="213" t="str">
        <f>_xlfn.CONCAT([2]Arkusz1!C144," ",[2]Arkusz1!D144)</f>
        <v xml:space="preserve"> </v>
      </c>
      <c r="J140" s="216">
        <f ca="1">IF(DATEDIF([2]Arkusz1!S144,TODAY(),"Y")&gt;21,0,DATEDIF([2]Arkusz1!S144,TODAY(),"Y"))</f>
        <v>0</v>
      </c>
      <c r="K140" s="4">
        <f>[2]Arkusz1!T144</f>
        <v>0</v>
      </c>
      <c r="L140" s="216">
        <f>[2]Arkusz1!U144</f>
        <v>0</v>
      </c>
      <c r="M140" s="4">
        <f>[2]Arkusz1!P144</f>
        <v>0</v>
      </c>
      <c r="N140" s="4">
        <f>[2]Arkusz1!Q144</f>
        <v>0</v>
      </c>
      <c r="O140" s="4">
        <f>[2]Arkusz1!V144</f>
        <v>0</v>
      </c>
      <c r="P140" s="4">
        <f t="shared" si="4"/>
        <v>176</v>
      </c>
      <c r="Q140" s="4">
        <f>[2]Arkusz1!Y144</f>
        <v>0</v>
      </c>
      <c r="R140" s="4" t="s">
        <v>64</v>
      </c>
      <c r="S140" s="4" t="s">
        <v>64</v>
      </c>
      <c r="T140" s="4">
        <f>[2]Arkusz1!AA144</f>
        <v>0</v>
      </c>
      <c r="U140" s="4" t="str">
        <f>IF([2]Arkusz1!O144=[2]Arkusz1!$O$7,"Z",IF([2]Arkusz1!O144=[2]Arkusz1!$O$15,"Ix3",IF([2]Arkusz1!O144=[2]Arkusz1!$O$20,"Ix1","Ix2")))</f>
        <v>Ix2</v>
      </c>
      <c r="V140" s="4">
        <f>[2]Arkusz1!AM144</f>
        <v>0</v>
      </c>
      <c r="W140" s="4">
        <f>[2]Arkusz1!AB144</f>
        <v>0</v>
      </c>
      <c r="X140" s="4" t="e">
        <f>_xlfn.TEXTBEFORE([2]Arkusz1!AC144," (")</f>
        <v>#N/A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I140" s="4" t="s">
        <v>546</v>
      </c>
      <c r="AJ140" s="4" t="s">
        <v>307</v>
      </c>
      <c r="AK140" s="4" t="s">
        <v>547</v>
      </c>
      <c r="AL140" s="4">
        <v>14210215037</v>
      </c>
      <c r="AM140" s="4">
        <v>0</v>
      </c>
      <c r="AN140" s="4">
        <v>0</v>
      </c>
      <c r="AP140" s="4">
        <f>[1]Hist!$X150</f>
        <v>0</v>
      </c>
    </row>
    <row r="141" spans="1:42" x14ac:dyDescent="0.2">
      <c r="A141" s="4">
        <v>140</v>
      </c>
      <c r="B141" s="215">
        <f>[2]Arkusz1!B145</f>
        <v>0</v>
      </c>
      <c r="C141" s="44" t="str">
        <f>_xlfn.CONCAT([2]Arkusz1!G145," ",[2]Arkusz1!H145)</f>
        <v xml:space="preserve"> </v>
      </c>
      <c r="F141" s="218"/>
      <c r="G141" s="4">
        <f>[2]Arkusz1!I145</f>
        <v>0</v>
      </c>
      <c r="H141" s="4">
        <f>[2]Arkusz1!J145</f>
        <v>0</v>
      </c>
      <c r="I141" s="213" t="str">
        <f>_xlfn.CONCAT([2]Arkusz1!C145," ",[2]Arkusz1!D145)</f>
        <v xml:space="preserve"> </v>
      </c>
      <c r="J141" s="216">
        <f ca="1">IF(DATEDIF([2]Arkusz1!S145,TODAY(),"Y")&gt;21,0,DATEDIF([2]Arkusz1!S145,TODAY(),"Y"))</f>
        <v>0</v>
      </c>
      <c r="K141" s="4">
        <f>[2]Arkusz1!T145</f>
        <v>0</v>
      </c>
      <c r="L141" s="216">
        <f>[2]Arkusz1!U145</f>
        <v>0</v>
      </c>
      <c r="M141" s="4">
        <f>[2]Arkusz1!P145</f>
        <v>0</v>
      </c>
      <c r="N141" s="4">
        <f>[2]Arkusz1!Q145</f>
        <v>0</v>
      </c>
      <c r="O141" s="4">
        <f>[2]Arkusz1!V145</f>
        <v>0</v>
      </c>
      <c r="P141" s="4">
        <f t="shared" si="4"/>
        <v>176</v>
      </c>
      <c r="Q141" s="4">
        <f>[2]Arkusz1!Y145</f>
        <v>0</v>
      </c>
      <c r="R141" s="4" t="s">
        <v>64</v>
      </c>
      <c r="S141" s="4" t="s">
        <v>64</v>
      </c>
      <c r="T141" s="4">
        <f>[2]Arkusz1!AA145</f>
        <v>0</v>
      </c>
      <c r="U141" s="4" t="str">
        <f>IF([2]Arkusz1!O145=[2]Arkusz1!$O$7,"Z",IF([2]Arkusz1!O145=[2]Arkusz1!$O$15,"Ix3",IF([2]Arkusz1!O145=[2]Arkusz1!$O$20,"Ix1","Ix2")))</f>
        <v>Ix2</v>
      </c>
      <c r="V141" s="4">
        <f>[2]Arkusz1!AM145</f>
        <v>0</v>
      </c>
      <c r="W141" s="4">
        <f>[2]Arkusz1!AB145</f>
        <v>0</v>
      </c>
      <c r="X141" s="4" t="e">
        <f>_xlfn.TEXTBEFORE([2]Arkusz1!AC145," (")</f>
        <v>#N/A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I141" s="4" t="s">
        <v>546</v>
      </c>
      <c r="AJ141" s="4" t="s">
        <v>307</v>
      </c>
      <c r="AK141" s="4" t="s">
        <v>547</v>
      </c>
      <c r="AL141" s="4">
        <v>14210215037</v>
      </c>
      <c r="AM141" s="4">
        <v>0</v>
      </c>
      <c r="AN141" s="4">
        <v>0</v>
      </c>
      <c r="AP141" s="4">
        <f>[1]Hist!$X151</f>
        <v>0</v>
      </c>
    </row>
    <row r="142" spans="1:42" x14ac:dyDescent="0.2">
      <c r="A142" s="4">
        <v>141</v>
      </c>
      <c r="B142" s="215">
        <f>[2]Arkusz1!B146</f>
        <v>0</v>
      </c>
      <c r="C142" s="44" t="str">
        <f>_xlfn.CONCAT([2]Arkusz1!G146," ",[2]Arkusz1!H146)</f>
        <v xml:space="preserve"> </v>
      </c>
      <c r="F142" s="218"/>
      <c r="G142" s="4">
        <f>[2]Arkusz1!I146</f>
        <v>0</v>
      </c>
      <c r="H142" s="4">
        <f>[2]Arkusz1!J146</f>
        <v>0</v>
      </c>
      <c r="I142" s="213" t="str">
        <f>_xlfn.CONCAT([2]Arkusz1!C146," ",[2]Arkusz1!D146)</f>
        <v xml:space="preserve"> </v>
      </c>
      <c r="J142" s="216">
        <f ca="1">IF(DATEDIF([2]Arkusz1!S146,TODAY(),"Y")&gt;21,0,DATEDIF([2]Arkusz1!S146,TODAY(),"Y"))</f>
        <v>0</v>
      </c>
      <c r="K142" s="4">
        <f>[2]Arkusz1!T146</f>
        <v>0</v>
      </c>
      <c r="L142" s="216">
        <f>[2]Arkusz1!U146</f>
        <v>0</v>
      </c>
      <c r="M142" s="4">
        <f>[2]Arkusz1!P146</f>
        <v>0</v>
      </c>
      <c r="N142" s="4">
        <f>[2]Arkusz1!Q146</f>
        <v>0</v>
      </c>
      <c r="O142" s="4">
        <f>[2]Arkusz1!V146</f>
        <v>0</v>
      </c>
      <c r="P142" s="4">
        <f t="shared" si="4"/>
        <v>176</v>
      </c>
      <c r="Q142" s="4">
        <f>[2]Arkusz1!Y146</f>
        <v>0</v>
      </c>
      <c r="R142" s="4" t="s">
        <v>64</v>
      </c>
      <c r="S142" s="4" t="s">
        <v>64</v>
      </c>
      <c r="T142" s="4">
        <f>[2]Arkusz1!AA146</f>
        <v>0</v>
      </c>
      <c r="U142" s="4" t="str">
        <f>IF([2]Arkusz1!O146=[2]Arkusz1!$O$7,"Z",IF([2]Arkusz1!O146=[2]Arkusz1!$O$15,"Ix3",IF([2]Arkusz1!O146=[2]Arkusz1!$O$20,"Ix1","Ix2")))</f>
        <v>Ix2</v>
      </c>
      <c r="V142" s="4">
        <f>[2]Arkusz1!AM146</f>
        <v>0</v>
      </c>
      <c r="W142" s="4">
        <f>[2]Arkusz1!AB146</f>
        <v>0</v>
      </c>
      <c r="X142" s="4" t="e">
        <f>_xlfn.TEXTBEFORE([2]Arkusz1!AC146," (")</f>
        <v>#N/A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I142" s="4" t="s">
        <v>546</v>
      </c>
      <c r="AJ142" s="4" t="s">
        <v>307</v>
      </c>
      <c r="AK142" s="4" t="s">
        <v>547</v>
      </c>
      <c r="AL142" s="4">
        <v>14210215037</v>
      </c>
      <c r="AM142" s="4">
        <v>0</v>
      </c>
      <c r="AN142" s="4">
        <v>0</v>
      </c>
      <c r="AP142" s="4">
        <f>[1]Hist!$X152</f>
        <v>0</v>
      </c>
    </row>
    <row r="143" spans="1:42" x14ac:dyDescent="0.2">
      <c r="A143" s="4">
        <v>142</v>
      </c>
      <c r="B143" s="215">
        <f>[2]Arkusz1!B147</f>
        <v>0</v>
      </c>
      <c r="C143" s="44" t="str">
        <f>_xlfn.CONCAT([2]Arkusz1!G147," ",[2]Arkusz1!H147)</f>
        <v xml:space="preserve"> </v>
      </c>
      <c r="F143" s="218"/>
      <c r="G143" s="4">
        <f>[2]Arkusz1!I147</f>
        <v>0</v>
      </c>
      <c r="H143" s="4">
        <f>[2]Arkusz1!J147</f>
        <v>0</v>
      </c>
      <c r="I143" s="213" t="str">
        <f>_xlfn.CONCAT([2]Arkusz1!C147," ",[2]Arkusz1!D147)</f>
        <v xml:space="preserve"> </v>
      </c>
      <c r="J143" s="216">
        <f ca="1">IF(DATEDIF([2]Arkusz1!S147,TODAY(),"Y")&gt;21,0,DATEDIF([2]Arkusz1!S147,TODAY(),"Y"))</f>
        <v>0</v>
      </c>
      <c r="K143" s="4">
        <f>[2]Arkusz1!T147</f>
        <v>0</v>
      </c>
      <c r="L143" s="216">
        <f>[2]Arkusz1!U147</f>
        <v>0</v>
      </c>
      <c r="M143" s="4">
        <f>[2]Arkusz1!P147</f>
        <v>0</v>
      </c>
      <c r="N143" s="4">
        <f>[2]Arkusz1!Q147</f>
        <v>0</v>
      </c>
      <c r="O143" s="4">
        <f>[2]Arkusz1!V147</f>
        <v>0</v>
      </c>
      <c r="P143" s="4">
        <f t="shared" si="4"/>
        <v>176</v>
      </c>
      <c r="Q143" s="4">
        <f>[2]Arkusz1!Y147</f>
        <v>0</v>
      </c>
      <c r="R143" s="4" t="s">
        <v>64</v>
      </c>
      <c r="S143" s="4" t="s">
        <v>64</v>
      </c>
      <c r="T143" s="4">
        <f>[2]Arkusz1!AA147</f>
        <v>0</v>
      </c>
      <c r="U143" s="4" t="str">
        <f>IF([2]Arkusz1!O147=[2]Arkusz1!$O$7,"Z",IF([2]Arkusz1!O147=[2]Arkusz1!$O$15,"Ix3",IF([2]Arkusz1!O147=[2]Arkusz1!$O$20,"Ix1","Ix2")))</f>
        <v>Ix2</v>
      </c>
      <c r="V143" s="4">
        <f>[2]Arkusz1!AM147</f>
        <v>0</v>
      </c>
      <c r="W143" s="4">
        <f>[2]Arkusz1!AB147</f>
        <v>0</v>
      </c>
      <c r="X143" s="4" t="e">
        <f>_xlfn.TEXTBEFORE([2]Arkusz1!AC147," (")</f>
        <v>#N/A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I143" s="4" t="s">
        <v>546</v>
      </c>
      <c r="AJ143" s="4" t="s">
        <v>307</v>
      </c>
      <c r="AK143" s="4" t="s">
        <v>547</v>
      </c>
      <c r="AL143" s="4">
        <v>14210215037</v>
      </c>
      <c r="AM143" s="4">
        <v>0</v>
      </c>
      <c r="AN143" s="4">
        <v>0</v>
      </c>
      <c r="AP143" s="4">
        <f>[1]Hist!$X153</f>
        <v>0</v>
      </c>
    </row>
    <row r="144" spans="1:42" x14ac:dyDescent="0.2">
      <c r="A144" s="4">
        <v>143</v>
      </c>
      <c r="B144" s="215">
        <f>[2]Arkusz1!B148</f>
        <v>0</v>
      </c>
      <c r="C144" s="44" t="str">
        <f>_xlfn.CONCAT([2]Arkusz1!G148," ",[2]Arkusz1!H148)</f>
        <v xml:space="preserve"> </v>
      </c>
      <c r="F144" s="218"/>
      <c r="G144" s="4">
        <f>[2]Arkusz1!I148</f>
        <v>0</v>
      </c>
      <c r="H144" s="4">
        <f>[2]Arkusz1!J148</f>
        <v>0</v>
      </c>
      <c r="I144" s="213" t="str">
        <f>_xlfn.CONCAT([2]Arkusz1!C148," ",[2]Arkusz1!D148)</f>
        <v xml:space="preserve"> </v>
      </c>
      <c r="J144" s="216">
        <f ca="1">IF(DATEDIF([2]Arkusz1!S148,TODAY(),"Y")&gt;21,0,DATEDIF([2]Arkusz1!S148,TODAY(),"Y"))</f>
        <v>0</v>
      </c>
      <c r="K144" s="4">
        <f>[2]Arkusz1!T148</f>
        <v>0</v>
      </c>
      <c r="L144" s="216">
        <f>[2]Arkusz1!U148</f>
        <v>0</v>
      </c>
      <c r="M144" s="4">
        <f>[2]Arkusz1!P148</f>
        <v>0</v>
      </c>
      <c r="N144" s="4">
        <f>[2]Arkusz1!Q148</f>
        <v>0</v>
      </c>
      <c r="O144" s="4">
        <f>[2]Arkusz1!V148</f>
        <v>0</v>
      </c>
      <c r="P144" s="4">
        <f t="shared" si="4"/>
        <v>176</v>
      </c>
      <c r="Q144" s="4">
        <f>[2]Arkusz1!Y148</f>
        <v>0</v>
      </c>
      <c r="R144" s="4" t="s">
        <v>64</v>
      </c>
      <c r="S144" s="4" t="s">
        <v>64</v>
      </c>
      <c r="T144" s="4">
        <f>[2]Arkusz1!AA148</f>
        <v>0</v>
      </c>
      <c r="U144" s="4" t="str">
        <f>IF([2]Arkusz1!O148=[2]Arkusz1!$O$7,"Z",IF([2]Arkusz1!O148=[2]Arkusz1!$O$15,"Ix3",IF([2]Arkusz1!O148=[2]Arkusz1!$O$20,"Ix1","Ix2")))</f>
        <v>Ix2</v>
      </c>
      <c r="V144" s="4">
        <f>[2]Arkusz1!AM148</f>
        <v>0</v>
      </c>
      <c r="W144" s="4">
        <f>[2]Arkusz1!AB148</f>
        <v>0</v>
      </c>
      <c r="X144" s="4" t="e">
        <f>_xlfn.TEXTBEFORE([2]Arkusz1!AC148," (")</f>
        <v>#N/A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I144" s="4" t="s">
        <v>546</v>
      </c>
      <c r="AJ144" s="4" t="s">
        <v>307</v>
      </c>
      <c r="AK144" s="4" t="s">
        <v>547</v>
      </c>
      <c r="AL144" s="4">
        <v>14210215037</v>
      </c>
      <c r="AM144" s="4">
        <v>0</v>
      </c>
      <c r="AN144" s="4">
        <v>0</v>
      </c>
      <c r="AP144" s="4">
        <f>[1]Hist!$X154</f>
        <v>0</v>
      </c>
    </row>
    <row r="145" spans="1:42" x14ac:dyDescent="0.2">
      <c r="A145" s="4">
        <v>144</v>
      </c>
      <c r="B145" s="215">
        <f>[2]Arkusz1!B149</f>
        <v>0</v>
      </c>
      <c r="C145" s="44" t="str">
        <f>_xlfn.CONCAT([2]Arkusz1!G149," ",[2]Arkusz1!H149)</f>
        <v xml:space="preserve"> </v>
      </c>
      <c r="F145" s="218"/>
      <c r="G145" s="4">
        <f>[2]Arkusz1!I149</f>
        <v>0</v>
      </c>
      <c r="H145" s="4">
        <f>[2]Arkusz1!J149</f>
        <v>0</v>
      </c>
      <c r="I145" s="213" t="str">
        <f>_xlfn.CONCAT([2]Arkusz1!C149," ",[2]Arkusz1!D149)</f>
        <v xml:space="preserve"> </v>
      </c>
      <c r="J145" s="216">
        <f ca="1">IF(DATEDIF([2]Arkusz1!S149,TODAY(),"Y")&gt;21,0,DATEDIF([2]Arkusz1!S149,TODAY(),"Y"))</f>
        <v>0</v>
      </c>
      <c r="K145" s="4">
        <f>[2]Arkusz1!T149</f>
        <v>0</v>
      </c>
      <c r="L145" s="216">
        <f>[2]Arkusz1!U149</f>
        <v>0</v>
      </c>
      <c r="M145" s="4">
        <f>[2]Arkusz1!P149</f>
        <v>0</v>
      </c>
      <c r="N145" s="4">
        <f>[2]Arkusz1!Q149</f>
        <v>0</v>
      </c>
      <c r="O145" s="4">
        <f>[2]Arkusz1!V149</f>
        <v>0</v>
      </c>
      <c r="P145" s="4">
        <f t="shared" si="4"/>
        <v>176</v>
      </c>
      <c r="Q145" s="4">
        <f>[2]Arkusz1!Y149</f>
        <v>0</v>
      </c>
      <c r="R145" s="4" t="s">
        <v>64</v>
      </c>
      <c r="S145" s="4" t="s">
        <v>64</v>
      </c>
      <c r="T145" s="4">
        <f>[2]Arkusz1!AA149</f>
        <v>0</v>
      </c>
      <c r="U145" s="4" t="str">
        <f>IF([2]Arkusz1!O149=[2]Arkusz1!$O$7,"Z",IF([2]Arkusz1!O149=[2]Arkusz1!$O$15,"Ix3",IF([2]Arkusz1!O149=[2]Arkusz1!$O$20,"Ix1","Ix2")))</f>
        <v>Ix2</v>
      </c>
      <c r="V145" s="4">
        <f>[2]Arkusz1!AM149</f>
        <v>0</v>
      </c>
      <c r="W145" s="4">
        <f>[2]Arkusz1!AB149</f>
        <v>0</v>
      </c>
      <c r="X145" s="4" t="e">
        <f>_xlfn.TEXTBEFORE([2]Arkusz1!AC149," (")</f>
        <v>#N/A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I145" s="4" t="s">
        <v>546</v>
      </c>
      <c r="AJ145" s="4" t="s">
        <v>307</v>
      </c>
      <c r="AK145" s="4" t="s">
        <v>547</v>
      </c>
      <c r="AL145" s="4">
        <v>14210215037</v>
      </c>
      <c r="AM145" s="4">
        <v>0</v>
      </c>
      <c r="AN145" s="4">
        <v>0</v>
      </c>
      <c r="AP145" s="4">
        <f>[1]Hist!$X155</f>
        <v>0</v>
      </c>
    </row>
    <row r="146" spans="1:42" x14ac:dyDescent="0.2">
      <c r="A146" s="4">
        <v>145</v>
      </c>
      <c r="B146" s="215">
        <f>[2]Arkusz1!B150</f>
        <v>0</v>
      </c>
      <c r="C146" s="44" t="str">
        <f>_xlfn.CONCAT([2]Arkusz1!G150," ",[2]Arkusz1!H150)</f>
        <v xml:space="preserve"> </v>
      </c>
      <c r="F146" s="218"/>
      <c r="G146" s="4">
        <f>[2]Arkusz1!I150</f>
        <v>0</v>
      </c>
      <c r="H146" s="4">
        <f>[2]Arkusz1!J150</f>
        <v>0</v>
      </c>
      <c r="I146" s="213" t="str">
        <f>_xlfn.CONCAT([2]Arkusz1!C150," ",[2]Arkusz1!D150)</f>
        <v xml:space="preserve"> </v>
      </c>
      <c r="J146" s="216">
        <f ca="1">IF(DATEDIF([2]Arkusz1!S150,TODAY(),"Y")&gt;21,0,DATEDIF([2]Arkusz1!S150,TODAY(),"Y"))</f>
        <v>0</v>
      </c>
      <c r="K146" s="4">
        <f>[2]Arkusz1!T150</f>
        <v>0</v>
      </c>
      <c r="L146" s="216">
        <f>[2]Arkusz1!U150</f>
        <v>0</v>
      </c>
      <c r="M146" s="4">
        <f>[2]Arkusz1!P150</f>
        <v>0</v>
      </c>
      <c r="N146" s="4">
        <f>[2]Arkusz1!Q150</f>
        <v>0</v>
      </c>
      <c r="O146" s="4">
        <f>[2]Arkusz1!V150</f>
        <v>0</v>
      </c>
      <c r="P146" s="4">
        <f t="shared" si="4"/>
        <v>176</v>
      </c>
      <c r="Q146" s="4">
        <f>[2]Arkusz1!Y150</f>
        <v>0</v>
      </c>
      <c r="R146" s="4" t="s">
        <v>64</v>
      </c>
      <c r="S146" s="4" t="s">
        <v>64</v>
      </c>
      <c r="T146" s="4">
        <f>[2]Arkusz1!AA150</f>
        <v>0</v>
      </c>
      <c r="U146" s="4" t="str">
        <f>IF([2]Arkusz1!O150=[2]Arkusz1!$O$7,"Z",IF([2]Arkusz1!O150=[2]Arkusz1!$O$15,"Ix3",IF([2]Arkusz1!O150=[2]Arkusz1!$O$20,"Ix1","Ix2")))</f>
        <v>Ix2</v>
      </c>
      <c r="V146" s="4">
        <f>[2]Arkusz1!AM150</f>
        <v>0</v>
      </c>
      <c r="W146" s="4">
        <f>[2]Arkusz1!AB150</f>
        <v>0</v>
      </c>
      <c r="X146" s="4" t="e">
        <f>_xlfn.TEXTBEFORE([2]Arkusz1!AC150," (")</f>
        <v>#N/A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I146" s="4" t="s">
        <v>546</v>
      </c>
      <c r="AJ146" s="4" t="s">
        <v>307</v>
      </c>
      <c r="AK146" s="4" t="s">
        <v>547</v>
      </c>
      <c r="AL146" s="4">
        <v>14210215037</v>
      </c>
      <c r="AM146" s="4">
        <v>0</v>
      </c>
      <c r="AN146" s="4">
        <v>0</v>
      </c>
      <c r="AP146" s="4">
        <f>[1]Hist!$X156</f>
        <v>0</v>
      </c>
    </row>
    <row r="147" spans="1:42" x14ac:dyDescent="0.2">
      <c r="A147" s="4">
        <v>146</v>
      </c>
      <c r="B147" s="215">
        <f>[2]Arkusz1!B151</f>
        <v>0</v>
      </c>
      <c r="C147" s="44" t="str">
        <f>_xlfn.CONCAT([2]Arkusz1!G151," ",[2]Arkusz1!H151)</f>
        <v xml:space="preserve"> </v>
      </c>
      <c r="F147" s="218"/>
      <c r="G147" s="4">
        <f>[2]Arkusz1!E151</f>
        <v>0</v>
      </c>
      <c r="H147" s="4">
        <f>[2]Arkusz1!J151</f>
        <v>0</v>
      </c>
      <c r="I147" s="213" t="str">
        <f>_xlfn.CONCAT([2]Arkusz1!C151," ",[2]Arkusz1!D151)</f>
        <v xml:space="preserve"> </v>
      </c>
      <c r="J147" s="216">
        <f ca="1">IF(DATEDIF([2]Arkusz1!S151,TODAY(),"Y")&gt;21,0,DATEDIF([2]Arkusz1!S151,TODAY(),"Y"))</f>
        <v>0</v>
      </c>
      <c r="K147" s="4">
        <f>[2]Arkusz1!T151</f>
        <v>0</v>
      </c>
      <c r="L147" s="216">
        <f>[2]Arkusz1!U151</f>
        <v>0</v>
      </c>
      <c r="M147" s="4">
        <f>[2]Arkusz1!P151</f>
        <v>0</v>
      </c>
      <c r="N147" s="4">
        <f>[2]Arkusz1!Q151</f>
        <v>0</v>
      </c>
      <c r="O147" s="4">
        <f>[2]Arkusz1!V151</f>
        <v>0</v>
      </c>
      <c r="P147" s="4">
        <f t="shared" si="4"/>
        <v>176</v>
      </c>
      <c r="Q147" s="4">
        <f>[2]Arkusz1!Y151</f>
        <v>0</v>
      </c>
      <c r="R147" s="4" t="s">
        <v>64</v>
      </c>
      <c r="S147" s="4" t="s">
        <v>64</v>
      </c>
      <c r="T147" s="4">
        <f>[2]Arkusz1!AA151</f>
        <v>0</v>
      </c>
      <c r="U147" s="4" t="str">
        <f>IF([2]Arkusz1!O151=[2]Arkusz1!$O$7,"Z",IF([2]Arkusz1!O151=[2]Arkusz1!$O$15,"Ix3",IF([2]Arkusz1!O151=[2]Arkusz1!$O$20,"Ix1","Ix2")))</f>
        <v>Ix2</v>
      </c>
      <c r="V147" s="4">
        <f>[2]Arkusz1!AM151</f>
        <v>0</v>
      </c>
      <c r="W147" s="4">
        <f>[2]Arkusz1!AB151</f>
        <v>0</v>
      </c>
      <c r="X147" s="4" t="e">
        <f>_xlfn.TEXTBEFORE([2]Arkusz1!AC151," (")</f>
        <v>#N/A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I147" s="4" t="s">
        <v>546</v>
      </c>
      <c r="AJ147" s="4" t="s">
        <v>307</v>
      </c>
      <c r="AK147" s="4" t="s">
        <v>547</v>
      </c>
      <c r="AL147" s="4">
        <v>14210215037</v>
      </c>
      <c r="AM147" s="4">
        <v>0</v>
      </c>
      <c r="AN147" s="4">
        <v>0</v>
      </c>
      <c r="AP147" s="4">
        <f>[1]Hist!$X157</f>
        <v>0</v>
      </c>
    </row>
    <row r="148" spans="1:42" x14ac:dyDescent="0.2">
      <c r="A148" s="4">
        <v>147</v>
      </c>
      <c r="B148" s="215">
        <f>[2]Arkusz1!B152</f>
        <v>0</v>
      </c>
      <c r="C148" s="44" t="str">
        <f>_xlfn.CONCAT([2]Arkusz1!G152," ",[2]Arkusz1!H152)</f>
        <v xml:space="preserve"> </v>
      </c>
      <c r="F148" s="218"/>
      <c r="G148" s="4">
        <f>[2]Arkusz1!E152</f>
        <v>0</v>
      </c>
      <c r="H148" s="4">
        <f>[2]Arkusz1!J152</f>
        <v>0</v>
      </c>
      <c r="I148" s="213" t="str">
        <f>_xlfn.CONCAT([2]Arkusz1!C152," ",[2]Arkusz1!D152)</f>
        <v xml:space="preserve"> </v>
      </c>
      <c r="J148" s="216">
        <f ca="1">IF(DATEDIF([2]Arkusz1!S152,TODAY(),"Y")&gt;21,0,DATEDIF([2]Arkusz1!S152,TODAY(),"Y"))</f>
        <v>0</v>
      </c>
      <c r="K148" s="4">
        <f>[2]Arkusz1!T152</f>
        <v>0</v>
      </c>
      <c r="L148" s="216">
        <f>[2]Arkusz1!U152</f>
        <v>0</v>
      </c>
      <c r="M148" s="4">
        <f>[2]Arkusz1!P152</f>
        <v>0</v>
      </c>
      <c r="N148" s="4">
        <f>[2]Arkusz1!Q152</f>
        <v>0</v>
      </c>
      <c r="O148" s="4">
        <f>[2]Arkusz1!V152</f>
        <v>0</v>
      </c>
      <c r="P148" s="4">
        <f t="shared" si="4"/>
        <v>176</v>
      </c>
      <c r="Q148" s="4">
        <f>[2]Arkusz1!Y152</f>
        <v>0</v>
      </c>
      <c r="R148" s="4" t="s">
        <v>64</v>
      </c>
      <c r="S148" s="4" t="s">
        <v>64</v>
      </c>
      <c r="T148" s="4">
        <f>[2]Arkusz1!AA152</f>
        <v>0</v>
      </c>
      <c r="U148" s="4" t="str">
        <f>IF([2]Arkusz1!O152=[2]Arkusz1!$O$7,"Z",IF([2]Arkusz1!O152=[2]Arkusz1!$O$15,"Ix3",IF([2]Arkusz1!O152=[2]Arkusz1!$O$20,"Ix1","Ix2")))</f>
        <v>Ix2</v>
      </c>
      <c r="V148" s="4">
        <f>[2]Arkusz1!AM152</f>
        <v>0</v>
      </c>
      <c r="W148" s="4">
        <f>[2]Arkusz1!AB152</f>
        <v>0</v>
      </c>
      <c r="X148" s="4" t="e">
        <f>_xlfn.TEXTBEFORE([2]Arkusz1!AC152," (")</f>
        <v>#N/A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I148" s="4" t="s">
        <v>546</v>
      </c>
      <c r="AJ148" s="4" t="s">
        <v>307</v>
      </c>
      <c r="AK148" s="4" t="s">
        <v>547</v>
      </c>
      <c r="AL148" s="4">
        <v>14210215037</v>
      </c>
      <c r="AM148" s="4">
        <v>0</v>
      </c>
      <c r="AN148" s="4">
        <v>0</v>
      </c>
      <c r="AP148" s="4">
        <f>[1]Hist!$X158</f>
        <v>0</v>
      </c>
    </row>
    <row r="149" spans="1:42" x14ac:dyDescent="0.2">
      <c r="A149" s="4">
        <v>148</v>
      </c>
      <c r="B149" s="215">
        <f>[2]Arkusz1!B153</f>
        <v>0</v>
      </c>
      <c r="C149" s="44" t="str">
        <f>_xlfn.CONCAT([2]Arkusz1!G153," ",[2]Arkusz1!H153)</f>
        <v xml:space="preserve"> </v>
      </c>
      <c r="F149" s="218"/>
      <c r="G149" s="4">
        <f>[2]Arkusz1!E153</f>
        <v>0</v>
      </c>
      <c r="H149" s="4">
        <f>[2]Arkusz1!J153</f>
        <v>0</v>
      </c>
      <c r="I149" s="213" t="str">
        <f>_xlfn.CONCAT([2]Arkusz1!C153," ",[2]Arkusz1!D153)</f>
        <v xml:space="preserve"> </v>
      </c>
      <c r="J149" s="216">
        <f ca="1">IF(DATEDIF([2]Arkusz1!S153,TODAY(),"Y")&gt;21,0,DATEDIF([2]Arkusz1!S153,TODAY(),"Y"))</f>
        <v>0</v>
      </c>
      <c r="K149" s="4">
        <f>[2]Arkusz1!T153</f>
        <v>0</v>
      </c>
      <c r="L149" s="216">
        <f>[2]Arkusz1!U153</f>
        <v>0</v>
      </c>
      <c r="M149" s="4">
        <f>[2]Arkusz1!P153</f>
        <v>0</v>
      </c>
      <c r="N149" s="4">
        <f>[2]Arkusz1!Q153</f>
        <v>0</v>
      </c>
      <c r="O149" s="4">
        <f>[2]Arkusz1!V153</f>
        <v>0</v>
      </c>
      <c r="P149" s="4">
        <f t="shared" si="4"/>
        <v>176</v>
      </c>
      <c r="Q149" s="4">
        <f>[2]Arkusz1!Y153</f>
        <v>0</v>
      </c>
      <c r="R149" s="4" t="s">
        <v>64</v>
      </c>
      <c r="S149" s="4" t="s">
        <v>64</v>
      </c>
      <c r="T149" s="4">
        <f>[2]Arkusz1!AA153</f>
        <v>0</v>
      </c>
      <c r="U149" s="4" t="str">
        <f>IF([2]Arkusz1!O153=[2]Arkusz1!$O$7,"Z",IF([2]Arkusz1!O153=[2]Arkusz1!$O$15,"Ix3",IF([2]Arkusz1!O153=[2]Arkusz1!$O$20,"Ix1","Ix2")))</f>
        <v>Ix2</v>
      </c>
      <c r="V149" s="4">
        <f>[2]Arkusz1!AM153</f>
        <v>0</v>
      </c>
      <c r="W149" s="4">
        <f>[2]Arkusz1!AB153</f>
        <v>0</v>
      </c>
      <c r="X149" s="4" t="e">
        <f>_xlfn.TEXTBEFORE([2]Arkusz1!AC153," (")</f>
        <v>#N/A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I149" s="4" t="s">
        <v>546</v>
      </c>
      <c r="AJ149" s="4" t="s">
        <v>307</v>
      </c>
      <c r="AK149" s="4" t="s">
        <v>547</v>
      </c>
      <c r="AL149" s="4">
        <v>14210215037</v>
      </c>
      <c r="AM149" s="4">
        <v>0</v>
      </c>
      <c r="AN149" s="4">
        <v>0</v>
      </c>
      <c r="AP149" s="4">
        <f>[1]Hist!$X159</f>
        <v>0</v>
      </c>
    </row>
    <row r="150" spans="1:42" x14ac:dyDescent="0.2">
      <c r="A150" s="4">
        <v>149</v>
      </c>
      <c r="B150" s="215">
        <f>[2]Arkusz1!B154</f>
        <v>0</v>
      </c>
      <c r="C150" s="44" t="str">
        <f>_xlfn.CONCAT([2]Arkusz1!G154," ",[2]Arkusz1!H154)</f>
        <v xml:space="preserve"> </v>
      </c>
      <c r="F150" s="218"/>
      <c r="G150" s="4">
        <f>[2]Arkusz1!E154</f>
        <v>0</v>
      </c>
      <c r="H150" s="4">
        <f>[2]Arkusz1!J154</f>
        <v>0</v>
      </c>
      <c r="I150" s="213" t="str">
        <f>_xlfn.CONCAT([2]Arkusz1!C154," ",[2]Arkusz1!D154)</f>
        <v xml:space="preserve"> </v>
      </c>
      <c r="J150" s="216">
        <f ca="1">IF(DATEDIF([2]Arkusz1!S154,TODAY(),"Y")&gt;21,0,DATEDIF([2]Arkusz1!S154,TODAY(),"Y"))</f>
        <v>0</v>
      </c>
      <c r="K150" s="4">
        <f>[2]Arkusz1!T154</f>
        <v>0</v>
      </c>
      <c r="L150" s="216">
        <f>[2]Arkusz1!U154</f>
        <v>0</v>
      </c>
      <c r="M150" s="4">
        <f>[2]Arkusz1!P154</f>
        <v>0</v>
      </c>
      <c r="N150" s="4">
        <f>[2]Arkusz1!Q154</f>
        <v>0</v>
      </c>
      <c r="O150" s="4">
        <f>[2]Arkusz1!V154</f>
        <v>0</v>
      </c>
      <c r="P150" s="4">
        <f t="shared" si="4"/>
        <v>176</v>
      </c>
      <c r="Q150" s="4">
        <f>[2]Arkusz1!Y154</f>
        <v>0</v>
      </c>
      <c r="R150" s="4" t="s">
        <v>64</v>
      </c>
      <c r="S150" s="4" t="s">
        <v>64</v>
      </c>
      <c r="T150" s="4">
        <f>[2]Arkusz1!AA154</f>
        <v>0</v>
      </c>
      <c r="U150" s="4" t="str">
        <f>IF([2]Arkusz1!O154=[2]Arkusz1!$O$7,"Z",IF([2]Arkusz1!O154=[2]Arkusz1!$O$15,"Ix3",IF([2]Arkusz1!O154=[2]Arkusz1!$O$20,"Ix1","Ix2")))</f>
        <v>Ix2</v>
      </c>
      <c r="V150" s="4">
        <f>[2]Arkusz1!AM154</f>
        <v>0</v>
      </c>
      <c r="W150" s="4">
        <f>[2]Arkusz1!AB154</f>
        <v>0</v>
      </c>
      <c r="X150" s="4" t="e">
        <f>_xlfn.TEXTBEFORE([2]Arkusz1!AC154," (")</f>
        <v>#N/A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I150" s="4" t="s">
        <v>546</v>
      </c>
      <c r="AJ150" s="4" t="s">
        <v>307</v>
      </c>
      <c r="AK150" s="4" t="s">
        <v>547</v>
      </c>
      <c r="AL150" s="4">
        <v>14210215037</v>
      </c>
      <c r="AM150" s="4">
        <v>0</v>
      </c>
      <c r="AN150" s="4">
        <v>0</v>
      </c>
      <c r="AP150" s="4">
        <f>[1]Hist!$X160</f>
        <v>0</v>
      </c>
    </row>
    <row r="151" spans="1:42" x14ac:dyDescent="0.2">
      <c r="A151" s="4">
        <v>150</v>
      </c>
      <c r="B151" s="215">
        <f>[2]Arkusz1!B154</f>
        <v>0</v>
      </c>
      <c r="C151" s="44" t="str">
        <f>_xlfn.CONCAT([2]Arkusz1!G154," ",[2]Arkusz1!H154)</f>
        <v xml:space="preserve"> </v>
      </c>
      <c r="D151" s="4" t="e">
        <f>_xlfn.XLOOKUP(H151,[4]Sheet1!$I$2:$I$40,[4]Sheet1!$Y$2:$Y$40,,2,1)</f>
        <v>#N/A</v>
      </c>
      <c r="E151" s="4" t="e">
        <f>_xlfn.XLOOKUP(H151,[4]Sheet1!$I$2:$I$40,[4]Sheet1!$K$2:$K$40,,2,1)</f>
        <v>#N/A</v>
      </c>
      <c r="F151" s="218" t="e">
        <f>_xlfn.XLOOKUP(H151,[4]Sheet1!$I$2:$I$40,[4]Sheet1!$J$2:$J$40,,2,1)</f>
        <v>#N/A</v>
      </c>
      <c r="G151" s="4">
        <f>[2]Arkusz1!E154</f>
        <v>0</v>
      </c>
      <c r="H151" s="4">
        <f>[2]Arkusz1!J154</f>
        <v>0</v>
      </c>
      <c r="I151" s="213" t="str">
        <f>_xlfn.CONCAT([2]Arkusz1!C154," ",[2]Arkusz1!D154)</f>
        <v xml:space="preserve"> </v>
      </c>
      <c r="J151" s="216">
        <f ca="1">IF(DATEDIF([2]Arkusz1!S154,TODAY(),"Y")&gt;21,0,DATEDIF([2]Arkusz1!S154,TODAY(),"Y"))</f>
        <v>0</v>
      </c>
      <c r="K151" s="4">
        <f>[2]Arkusz1!T154</f>
        <v>0</v>
      </c>
      <c r="L151" s="216">
        <f>[2]Arkusz1!U154</f>
        <v>0</v>
      </c>
      <c r="M151" s="4">
        <f>[2]Arkusz1!P154</f>
        <v>0</v>
      </c>
      <c r="N151" s="4">
        <f>[2]Arkusz1!Q154</f>
        <v>0</v>
      </c>
      <c r="O151" s="4">
        <f>[2]Arkusz1!V154</f>
        <v>0</v>
      </c>
      <c r="P151" s="4">
        <f t="shared" si="4"/>
        <v>176</v>
      </c>
      <c r="Q151" s="4">
        <f>[2]Arkusz1!Y154</f>
        <v>0</v>
      </c>
      <c r="R151" s="4" t="s">
        <v>64</v>
      </c>
      <c r="S151" s="4" t="s">
        <v>64</v>
      </c>
      <c r="T151" s="4">
        <f>[2]Arkusz1!AA154</f>
        <v>0</v>
      </c>
      <c r="U151" s="4" t="str">
        <f>IF([2]Arkusz1!O154=[2]Arkusz1!$O$7,"Z",IF([2]Arkusz1!O154=[2]Arkusz1!$O$15,"Ix3",IF([2]Arkusz1!O154=[2]Arkusz1!$O$20,"Ix1","Ix2")))</f>
        <v>Ix2</v>
      </c>
      <c r="V151" s="4">
        <f>[2]Arkusz1!AM154</f>
        <v>0</v>
      </c>
      <c r="W151" s="4">
        <f>[2]Arkusz1!AB155</f>
        <v>0</v>
      </c>
      <c r="X151" s="4" t="e">
        <f>_xlfn.TEXTBEFORE([2]Arkusz1!AC155," (")</f>
        <v>#N/A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I151" s="4" t="s">
        <v>546</v>
      </c>
      <c r="AJ151" s="4" t="s">
        <v>307</v>
      </c>
      <c r="AK151" s="4" t="s">
        <v>547</v>
      </c>
      <c r="AL151" s="4">
        <v>14210215037</v>
      </c>
      <c r="AM151" s="4">
        <v>0</v>
      </c>
      <c r="AN151" s="4">
        <v>0</v>
      </c>
      <c r="AP151" s="4">
        <f>[1]Hist!$X161</f>
        <v>0</v>
      </c>
    </row>
    <row r="152" spans="1:42" x14ac:dyDescent="0.2">
      <c r="A152" s="4">
        <v>151</v>
      </c>
      <c r="B152" s="215">
        <f>[2]Arkusz1!B155</f>
        <v>0</v>
      </c>
      <c r="C152" s="44" t="str">
        <f>_xlfn.CONCAT([2]Arkusz1!G155," ",[2]Arkusz1!H155)</f>
        <v xml:space="preserve"> </v>
      </c>
      <c r="D152" s="4" t="e">
        <f>_xlfn.XLOOKUP(H152,[4]Sheet1!$I$2:$I$40,[4]Sheet1!$Y$2:$Y$40,,2,1)</f>
        <v>#N/A</v>
      </c>
      <c r="E152" s="4" t="e">
        <f>_xlfn.XLOOKUP(H152,[4]Sheet1!$I$2:$I$40,[4]Sheet1!$K$2:$K$40,,2,1)</f>
        <v>#N/A</v>
      </c>
      <c r="F152" s="218" t="e">
        <f>_xlfn.XLOOKUP(H152,[4]Sheet1!$I$2:$I$40,[4]Sheet1!$J$2:$J$40,,2,1)</f>
        <v>#N/A</v>
      </c>
      <c r="G152" s="4">
        <f>[2]Arkusz1!E155</f>
        <v>0</v>
      </c>
      <c r="H152" s="4">
        <f>[2]Arkusz1!J155</f>
        <v>0</v>
      </c>
      <c r="I152" s="213" t="str">
        <f>_xlfn.CONCAT([2]Arkusz1!C155," ",[2]Arkusz1!D155)</f>
        <v xml:space="preserve"> </v>
      </c>
      <c r="J152" s="216">
        <f ca="1">IF(DATEDIF([2]Arkusz1!S155,TODAY(),"Y")&gt;21,0,DATEDIF([2]Arkusz1!S155,TODAY(),"Y"))</f>
        <v>0</v>
      </c>
      <c r="K152" s="4">
        <f>[2]Arkusz1!T155</f>
        <v>0</v>
      </c>
      <c r="L152" s="216">
        <f>[2]Arkusz1!U155</f>
        <v>0</v>
      </c>
      <c r="M152" s="4">
        <f>[2]Arkusz1!P155</f>
        <v>0</v>
      </c>
      <c r="N152" s="4">
        <f>[2]Arkusz1!Q155</f>
        <v>0</v>
      </c>
      <c r="O152" s="4">
        <f>[2]Arkusz1!V155</f>
        <v>0</v>
      </c>
      <c r="P152" s="4">
        <f t="shared" si="4"/>
        <v>176</v>
      </c>
      <c r="Q152" s="4">
        <f>[2]Arkusz1!Y155</f>
        <v>0</v>
      </c>
      <c r="R152" s="4" t="s">
        <v>64</v>
      </c>
      <c r="S152" s="4" t="s">
        <v>64</v>
      </c>
      <c r="T152" s="4">
        <f>[2]Arkusz1!AA155</f>
        <v>0</v>
      </c>
      <c r="U152" s="4" t="str">
        <f>IF([2]Arkusz1!O155=[2]Arkusz1!$O$7,"Z",IF([2]Arkusz1!O155=[2]Arkusz1!$O$15,"Ix3",IF([2]Arkusz1!O155=[2]Arkusz1!$O$20,"Ix1","Ix2")))</f>
        <v>Ix2</v>
      </c>
      <c r="V152" s="4">
        <f>[2]Arkusz1!AM155</f>
        <v>0</v>
      </c>
      <c r="W152" s="4">
        <f>[2]Arkusz1!AB156</f>
        <v>0</v>
      </c>
      <c r="X152" s="4" t="e">
        <f>_xlfn.TEXTBEFORE([2]Arkusz1!AC156," (")</f>
        <v>#N/A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I152" s="4" t="s">
        <v>546</v>
      </c>
      <c r="AJ152" s="4" t="s">
        <v>307</v>
      </c>
      <c r="AK152" s="4" t="s">
        <v>547</v>
      </c>
      <c r="AL152" s="4">
        <v>14210215037</v>
      </c>
      <c r="AM152" s="4">
        <v>0</v>
      </c>
      <c r="AN152" s="4">
        <v>0</v>
      </c>
      <c r="AP152" s="4">
        <f>[1]Hist!$X162</f>
        <v>0</v>
      </c>
    </row>
    <row r="153" spans="1:42" x14ac:dyDescent="0.2">
      <c r="A153" s="4">
        <v>152</v>
      </c>
      <c r="B153" s="215">
        <f>[2]Arkusz1!B156</f>
        <v>0</v>
      </c>
      <c r="C153" s="44" t="str">
        <f>_xlfn.CONCAT([2]Arkusz1!G156," ",[2]Arkusz1!H156)</f>
        <v xml:space="preserve"> </v>
      </c>
      <c r="D153" s="4" t="e">
        <f>_xlfn.XLOOKUP(H153,[4]Sheet1!$I$2:$I$40,[4]Sheet1!$Y$2:$Y$40,,2,1)</f>
        <v>#N/A</v>
      </c>
      <c r="E153" s="4" t="e">
        <f>_xlfn.XLOOKUP(H153,[4]Sheet1!$I$2:$I$40,[4]Sheet1!$K$2:$K$40,,2,1)</f>
        <v>#N/A</v>
      </c>
      <c r="F153" s="218" t="e">
        <f>_xlfn.XLOOKUP(H153,[4]Sheet1!$I$2:$I$40,[4]Sheet1!$J$2:$J$40,,2,1)</f>
        <v>#N/A</v>
      </c>
      <c r="G153" s="4">
        <f>[2]Arkusz1!E156</f>
        <v>0</v>
      </c>
      <c r="H153" s="4">
        <f>[2]Arkusz1!J156</f>
        <v>0</v>
      </c>
      <c r="I153" s="213" t="str">
        <f>_xlfn.CONCAT([2]Arkusz1!C156," ",[2]Arkusz1!D156)</f>
        <v xml:space="preserve"> </v>
      </c>
      <c r="J153" s="216">
        <f ca="1">IF(DATEDIF([2]Arkusz1!S156,TODAY(),"Y")&gt;21,0,DATEDIF([2]Arkusz1!S156,TODAY(),"Y"))</f>
        <v>0</v>
      </c>
      <c r="K153" s="4">
        <f>[2]Arkusz1!T156</f>
        <v>0</v>
      </c>
      <c r="L153" s="216">
        <f>[2]Arkusz1!U156</f>
        <v>0</v>
      </c>
      <c r="M153" s="4">
        <f>[2]Arkusz1!P156</f>
        <v>0</v>
      </c>
      <c r="N153" s="4">
        <f>[2]Arkusz1!Q156</f>
        <v>0</v>
      </c>
      <c r="O153" s="4">
        <f>[2]Arkusz1!V156</f>
        <v>0</v>
      </c>
      <c r="P153" s="4">
        <f t="shared" si="4"/>
        <v>176</v>
      </c>
      <c r="Q153" s="4">
        <f>[2]Arkusz1!Y156</f>
        <v>0</v>
      </c>
      <c r="R153" s="4" t="s">
        <v>64</v>
      </c>
      <c r="S153" s="4" t="s">
        <v>64</v>
      </c>
      <c r="T153" s="4">
        <f>[2]Arkusz1!AA156</f>
        <v>0</v>
      </c>
      <c r="U153" s="4" t="str">
        <f>IF([2]Arkusz1!O156=[2]Arkusz1!$O$7,"Z",IF([2]Arkusz1!O156=[2]Arkusz1!$O$15,"Ix3",IF([2]Arkusz1!O156=[2]Arkusz1!$O$20,"Ix1","Ix2")))</f>
        <v>Ix2</v>
      </c>
      <c r="V153" s="4">
        <f>[2]Arkusz1!AM156</f>
        <v>0</v>
      </c>
      <c r="W153" s="4">
        <f>[2]Arkusz1!AB157</f>
        <v>0</v>
      </c>
      <c r="X153" s="4" t="e">
        <f>_xlfn.TEXTBEFORE([2]Arkusz1!AC157," (")</f>
        <v>#N/A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I153" s="4" t="s">
        <v>546</v>
      </c>
      <c r="AJ153" s="4" t="s">
        <v>307</v>
      </c>
      <c r="AK153" s="4" t="s">
        <v>547</v>
      </c>
      <c r="AL153" s="4">
        <v>14210215037</v>
      </c>
      <c r="AM153" s="4">
        <v>0</v>
      </c>
      <c r="AN153" s="4">
        <v>0</v>
      </c>
      <c r="AP153" s="4">
        <f>[1]Hist!$X163</f>
        <v>0</v>
      </c>
    </row>
    <row r="154" spans="1:42" x14ac:dyDescent="0.2">
      <c r="A154" s="4">
        <v>153</v>
      </c>
      <c r="B154" s="215">
        <f>[2]Arkusz1!B157</f>
        <v>0</v>
      </c>
      <c r="C154" s="44" t="str">
        <f>_xlfn.CONCAT([2]Arkusz1!G157," ",[2]Arkusz1!H157)</f>
        <v xml:space="preserve"> </v>
      </c>
      <c r="D154" s="4" t="e">
        <f>_xlfn.XLOOKUP(H154,[4]Sheet1!$I$2:$I$40,[4]Sheet1!$Y$2:$Y$40,,2,1)</f>
        <v>#N/A</v>
      </c>
      <c r="E154" s="4" t="e">
        <f>_xlfn.XLOOKUP(H154,[4]Sheet1!$I$2:$I$40,[4]Sheet1!$K$2:$K$40,,2,1)</f>
        <v>#N/A</v>
      </c>
      <c r="F154" s="218" t="e">
        <f>_xlfn.XLOOKUP(H154,[4]Sheet1!$I$2:$I$40,[4]Sheet1!$J$2:$J$40,,2,1)</f>
        <v>#N/A</v>
      </c>
      <c r="G154" s="4">
        <f>[2]Arkusz1!E157</f>
        <v>0</v>
      </c>
      <c r="H154" s="4">
        <f>[2]Arkusz1!J157</f>
        <v>0</v>
      </c>
      <c r="I154" s="213" t="str">
        <f>_xlfn.CONCAT([2]Arkusz1!C157," ",[2]Arkusz1!D157)</f>
        <v xml:space="preserve"> </v>
      </c>
      <c r="J154" s="216">
        <f ca="1">IF(DATEDIF([2]Arkusz1!S157,TODAY(),"Y")&gt;21,0,DATEDIF([2]Arkusz1!S157,TODAY(),"Y"))</f>
        <v>0</v>
      </c>
      <c r="K154" s="4">
        <f>[2]Arkusz1!T157</f>
        <v>0</v>
      </c>
      <c r="L154" s="216">
        <f>[2]Arkusz1!U157</f>
        <v>0</v>
      </c>
      <c r="M154" s="4">
        <f>[2]Arkusz1!P157</f>
        <v>0</v>
      </c>
      <c r="N154" s="4">
        <f>[2]Arkusz1!Q157</f>
        <v>0</v>
      </c>
      <c r="O154" s="4">
        <f>[2]Arkusz1!V157</f>
        <v>0</v>
      </c>
      <c r="P154" s="4">
        <f t="shared" si="4"/>
        <v>176</v>
      </c>
      <c r="Q154" s="4">
        <f>[2]Arkusz1!Y157</f>
        <v>0</v>
      </c>
      <c r="R154" s="4" t="s">
        <v>64</v>
      </c>
      <c r="S154" s="4" t="s">
        <v>64</v>
      </c>
      <c r="T154" s="4">
        <f>[2]Arkusz1!AA157</f>
        <v>0</v>
      </c>
      <c r="U154" s="4" t="str">
        <f>IF([2]Arkusz1!O157=[2]Arkusz1!$O$7,"Z",IF([2]Arkusz1!O157=[2]Arkusz1!$O$15,"Ix3",IF([2]Arkusz1!O157=[2]Arkusz1!$O$20,"Ix1","Ix2")))</f>
        <v>Ix2</v>
      </c>
      <c r="V154" s="4">
        <f>[2]Arkusz1!AM157</f>
        <v>0</v>
      </c>
      <c r="W154" s="4">
        <f>[2]Arkusz1!AB158</f>
        <v>0</v>
      </c>
      <c r="X154" s="4" t="e">
        <f>_xlfn.TEXTBEFORE([2]Arkusz1!AC158," (")</f>
        <v>#N/A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I154" s="4" t="s">
        <v>546</v>
      </c>
      <c r="AJ154" s="4" t="s">
        <v>307</v>
      </c>
      <c r="AK154" s="4" t="s">
        <v>547</v>
      </c>
      <c r="AL154" s="4">
        <v>14210215037</v>
      </c>
      <c r="AM154" s="4">
        <v>0</v>
      </c>
      <c r="AN154" s="4">
        <v>0</v>
      </c>
      <c r="AP154" s="4">
        <f>[1]Hist!$X164</f>
        <v>0</v>
      </c>
    </row>
    <row r="155" spans="1:42" x14ac:dyDescent="0.2">
      <c r="A155" s="4">
        <v>154</v>
      </c>
      <c r="B155" s="215">
        <f>[2]Arkusz1!B158</f>
        <v>0</v>
      </c>
      <c r="C155" s="44" t="str">
        <f>_xlfn.CONCAT([2]Arkusz1!G158," ",[2]Arkusz1!H158)</f>
        <v xml:space="preserve"> </v>
      </c>
      <c r="D155" s="4" t="e">
        <f>_xlfn.XLOOKUP(H155,[4]Sheet1!$I$2:$I$40,[4]Sheet1!$Y$2:$Y$40,,2,1)</f>
        <v>#N/A</v>
      </c>
      <c r="E155" s="4" t="e">
        <f>_xlfn.XLOOKUP(H155,[4]Sheet1!$I$2:$I$40,[4]Sheet1!$K$2:$K$40,,2,1)</f>
        <v>#N/A</v>
      </c>
      <c r="F155" s="218" t="e">
        <f>_xlfn.XLOOKUP(H155,[4]Sheet1!$I$2:$I$40,[4]Sheet1!$J$2:$J$40,,2,1)</f>
        <v>#N/A</v>
      </c>
      <c r="G155" s="4">
        <f>[2]Arkusz1!E158</f>
        <v>0</v>
      </c>
      <c r="H155" s="4">
        <f>[2]Arkusz1!J158</f>
        <v>0</v>
      </c>
      <c r="I155" s="213" t="str">
        <f>_xlfn.CONCAT([2]Arkusz1!C158," ",[2]Arkusz1!D158)</f>
        <v xml:space="preserve"> </v>
      </c>
      <c r="J155" s="216">
        <f ca="1">IF(DATEDIF([2]Arkusz1!S158,TODAY(),"Y")&gt;21,0,DATEDIF([2]Arkusz1!S158,TODAY(),"Y"))</f>
        <v>0</v>
      </c>
      <c r="K155" s="4">
        <f>[2]Arkusz1!T158</f>
        <v>0</v>
      </c>
      <c r="L155" s="216">
        <f>[2]Arkusz1!U158</f>
        <v>0</v>
      </c>
      <c r="M155" s="4">
        <f>[2]Arkusz1!P158</f>
        <v>0</v>
      </c>
      <c r="N155" s="4">
        <f>[2]Arkusz1!Q158</f>
        <v>0</v>
      </c>
      <c r="O155" s="4">
        <f>[2]Arkusz1!V158</f>
        <v>0</v>
      </c>
      <c r="P155" s="4">
        <f t="shared" si="4"/>
        <v>176</v>
      </c>
      <c r="Q155" s="4">
        <f>[2]Arkusz1!Y158</f>
        <v>0</v>
      </c>
      <c r="R155" s="4" t="s">
        <v>64</v>
      </c>
      <c r="S155" s="4" t="s">
        <v>64</v>
      </c>
      <c r="T155" s="4">
        <f>[2]Arkusz1!AA158</f>
        <v>0</v>
      </c>
      <c r="U155" s="4" t="str">
        <f>IF([2]Arkusz1!O158=[2]Arkusz1!$O$7,"Z",IF([2]Arkusz1!O158=[2]Arkusz1!$O$15,"Ix3",IF([2]Arkusz1!O158=[2]Arkusz1!$O$20,"Ix1","Ix2")))</f>
        <v>Ix2</v>
      </c>
      <c r="V155" s="4">
        <f>[2]Arkusz1!AM158</f>
        <v>0</v>
      </c>
      <c r="W155" s="4">
        <f>[2]Arkusz1!AB159</f>
        <v>0</v>
      </c>
      <c r="X155" s="4" t="e">
        <f>_xlfn.TEXTBEFORE([2]Arkusz1!AC159," (")</f>
        <v>#N/A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I155" s="4" t="s">
        <v>546</v>
      </c>
      <c r="AJ155" s="4" t="s">
        <v>307</v>
      </c>
      <c r="AK155" s="4" t="s">
        <v>547</v>
      </c>
      <c r="AL155" s="4">
        <v>14210215037</v>
      </c>
      <c r="AM155" s="4">
        <v>0</v>
      </c>
      <c r="AN155" s="4">
        <v>0</v>
      </c>
      <c r="AP155" s="4">
        <f>[1]Hist!$X165</f>
        <v>0</v>
      </c>
    </row>
    <row r="156" spans="1:42" x14ac:dyDescent="0.2">
      <c r="A156" s="4">
        <v>155</v>
      </c>
      <c r="B156" s="215">
        <f>[2]Arkusz1!B159</f>
        <v>0</v>
      </c>
      <c r="C156" s="44" t="str">
        <f>_xlfn.CONCAT([2]Arkusz1!G159," ",[2]Arkusz1!H159)</f>
        <v xml:space="preserve"> </v>
      </c>
      <c r="D156" s="4" t="e">
        <f>_xlfn.XLOOKUP(H156,[4]Sheet1!$I$2:$I$40,[4]Sheet1!$Y$2:$Y$40,,2,1)</f>
        <v>#N/A</v>
      </c>
      <c r="E156" s="4" t="e">
        <f>_xlfn.XLOOKUP(H156,[4]Sheet1!$I$2:$I$40,[4]Sheet1!$K$2:$K$40,,2,1)</f>
        <v>#N/A</v>
      </c>
      <c r="F156" s="218" t="e">
        <f>_xlfn.XLOOKUP(H156,[4]Sheet1!$I$2:$I$40,[4]Sheet1!$J$2:$J$40,,2,1)</f>
        <v>#N/A</v>
      </c>
      <c r="G156" s="4">
        <f>[2]Arkusz1!E159</f>
        <v>0</v>
      </c>
      <c r="H156" s="4">
        <f>[2]Arkusz1!J159</f>
        <v>0</v>
      </c>
      <c r="I156" s="213" t="str">
        <f>_xlfn.CONCAT([2]Arkusz1!C159," ",[2]Arkusz1!D159)</f>
        <v xml:space="preserve"> </v>
      </c>
      <c r="J156" s="216">
        <f ca="1">IF(DATEDIF([2]Arkusz1!S159,TODAY(),"Y")&gt;21,0,DATEDIF([2]Arkusz1!S159,TODAY(),"Y"))</f>
        <v>0</v>
      </c>
      <c r="K156" s="4">
        <f>[2]Arkusz1!T159</f>
        <v>0</v>
      </c>
      <c r="L156" s="216">
        <f>[2]Arkusz1!U159</f>
        <v>0</v>
      </c>
      <c r="M156" s="4">
        <f>[2]Arkusz1!P159</f>
        <v>0</v>
      </c>
      <c r="N156" s="4">
        <f>[2]Arkusz1!Q159</f>
        <v>0</v>
      </c>
      <c r="O156" s="4">
        <f>[2]Arkusz1!V159</f>
        <v>0</v>
      </c>
      <c r="P156" s="4">
        <f t="shared" si="4"/>
        <v>176</v>
      </c>
      <c r="Q156" s="4">
        <f>[2]Arkusz1!Y159</f>
        <v>0</v>
      </c>
      <c r="R156" s="4" t="s">
        <v>64</v>
      </c>
      <c r="S156" s="4" t="s">
        <v>64</v>
      </c>
      <c r="T156" s="4">
        <f>[2]Arkusz1!AA159</f>
        <v>0</v>
      </c>
      <c r="U156" s="4" t="str">
        <f>IF([2]Arkusz1!O159=[2]Arkusz1!$O$7,"Z",IF([2]Arkusz1!O159=[2]Arkusz1!$O$15,"Ix3",IF([2]Arkusz1!O159=[2]Arkusz1!$O$20,"Ix1","Ix2")))</f>
        <v>Ix2</v>
      </c>
      <c r="V156" s="4">
        <f>[2]Arkusz1!AM159</f>
        <v>0</v>
      </c>
      <c r="W156" s="4">
        <f>[2]Arkusz1!AB160</f>
        <v>0</v>
      </c>
      <c r="X156" s="4" t="e">
        <f>_xlfn.TEXTBEFORE([2]Arkusz1!AC160," (")</f>
        <v>#N/A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I156" s="4" t="s">
        <v>546</v>
      </c>
      <c r="AJ156" s="4" t="s">
        <v>307</v>
      </c>
      <c r="AK156" s="4" t="s">
        <v>547</v>
      </c>
      <c r="AL156" s="4">
        <v>14210215037</v>
      </c>
      <c r="AM156" s="4">
        <v>0</v>
      </c>
      <c r="AN156" s="4">
        <v>0</v>
      </c>
      <c r="AP156" s="4">
        <f>[1]Hist!$X166</f>
        <v>0</v>
      </c>
    </row>
    <row r="157" spans="1:42" x14ac:dyDescent="0.2">
      <c r="A157" s="4">
        <v>156</v>
      </c>
      <c r="B157" s="215">
        <f>[2]Arkusz1!B160</f>
        <v>0</v>
      </c>
      <c r="C157" s="44" t="str">
        <f>_xlfn.CONCAT([2]Arkusz1!G160," ",[2]Arkusz1!H160)</f>
        <v xml:space="preserve"> </v>
      </c>
      <c r="D157" s="4" t="e">
        <f>_xlfn.XLOOKUP(H157,[4]Sheet1!$I$2:$I$40,[4]Sheet1!$Y$2:$Y$40,,2,1)</f>
        <v>#N/A</v>
      </c>
      <c r="E157" s="4" t="e">
        <f>_xlfn.XLOOKUP(H157,[4]Sheet1!$I$2:$I$40,[4]Sheet1!$K$2:$K$40,,2,1)</f>
        <v>#N/A</v>
      </c>
      <c r="F157" s="218" t="e">
        <f>_xlfn.XLOOKUP(H157,[4]Sheet1!$I$2:$I$40,[4]Sheet1!$J$2:$J$40,,2,1)</f>
        <v>#N/A</v>
      </c>
      <c r="G157" s="4">
        <f>[2]Arkusz1!E160</f>
        <v>0</v>
      </c>
      <c r="H157" s="4">
        <f>[2]Arkusz1!J160</f>
        <v>0</v>
      </c>
      <c r="I157" s="213" t="str">
        <f>_xlfn.CONCAT([2]Arkusz1!C160," ",[2]Arkusz1!D160)</f>
        <v xml:space="preserve"> </v>
      </c>
      <c r="J157" s="216">
        <f ca="1">IF(DATEDIF([2]Arkusz1!S160,TODAY(),"Y")&gt;21,0,DATEDIF([2]Arkusz1!S160,TODAY(),"Y"))</f>
        <v>0</v>
      </c>
      <c r="K157" s="4">
        <f>[2]Arkusz1!T160</f>
        <v>0</v>
      </c>
      <c r="L157" s="216">
        <f>[2]Arkusz1!U160</f>
        <v>0</v>
      </c>
      <c r="M157" s="4">
        <f>[2]Arkusz1!P160</f>
        <v>0</v>
      </c>
      <c r="N157" s="4">
        <f>[2]Arkusz1!Q160</f>
        <v>0</v>
      </c>
      <c r="O157" s="4">
        <f>[2]Arkusz1!V160</f>
        <v>0</v>
      </c>
      <c r="P157" s="4">
        <f t="shared" si="4"/>
        <v>176</v>
      </c>
      <c r="Q157" s="4">
        <f>[2]Arkusz1!Y160</f>
        <v>0</v>
      </c>
      <c r="R157" s="4" t="s">
        <v>64</v>
      </c>
      <c r="S157" s="4" t="s">
        <v>64</v>
      </c>
      <c r="T157" s="4">
        <f>[2]Arkusz1!AA160</f>
        <v>0</v>
      </c>
      <c r="U157" s="4" t="str">
        <f>IF([2]Arkusz1!O160=[2]Arkusz1!$O$7,"Z",IF([2]Arkusz1!O160=[2]Arkusz1!$O$15,"Ix3",IF([2]Arkusz1!O160=[2]Arkusz1!$O$20,"Ix1","Ix2")))</f>
        <v>Ix2</v>
      </c>
      <c r="V157" s="4">
        <f>[2]Arkusz1!AM160</f>
        <v>0</v>
      </c>
      <c r="W157" s="4">
        <f>[2]Arkusz1!AB161</f>
        <v>0</v>
      </c>
      <c r="X157" s="4" t="e">
        <f>_xlfn.TEXTBEFORE([2]Arkusz1!AC161," (")</f>
        <v>#N/A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I157" s="4" t="s">
        <v>546</v>
      </c>
      <c r="AJ157" s="4" t="s">
        <v>307</v>
      </c>
      <c r="AK157" s="4" t="s">
        <v>547</v>
      </c>
      <c r="AL157" s="4">
        <v>14210215037</v>
      </c>
      <c r="AM157" s="4">
        <v>0</v>
      </c>
      <c r="AN157" s="4">
        <v>0</v>
      </c>
      <c r="AP157" s="4">
        <f>[1]Hist!$X167</f>
        <v>0</v>
      </c>
    </row>
    <row r="158" spans="1:42" x14ac:dyDescent="0.2">
      <c r="A158" s="4">
        <v>157</v>
      </c>
      <c r="B158" s="215">
        <f>[2]Arkusz1!B161</f>
        <v>0</v>
      </c>
      <c r="C158" s="44" t="str">
        <f>_xlfn.CONCAT([2]Arkusz1!G161," ",[2]Arkusz1!H161)</f>
        <v xml:space="preserve"> </v>
      </c>
      <c r="D158" s="4" t="e">
        <f>_xlfn.XLOOKUP(H158,[4]Sheet1!$I$2:$I$40,[4]Sheet1!$Y$2:$Y$40,,2,1)</f>
        <v>#N/A</v>
      </c>
      <c r="E158" s="4" t="e">
        <f>_xlfn.XLOOKUP(H158,[4]Sheet1!$I$2:$I$40,[4]Sheet1!$K$2:$K$40,,2,1)</f>
        <v>#N/A</v>
      </c>
      <c r="F158" s="218" t="e">
        <f>_xlfn.XLOOKUP(H158,[4]Sheet1!$I$2:$I$40,[4]Sheet1!$J$2:$J$40,,2,1)</f>
        <v>#N/A</v>
      </c>
      <c r="G158" s="4">
        <f>[2]Arkusz1!E161</f>
        <v>0</v>
      </c>
      <c r="H158" s="4">
        <f>[2]Arkusz1!J161</f>
        <v>0</v>
      </c>
      <c r="I158" s="213" t="str">
        <f>_xlfn.CONCAT([2]Arkusz1!C161," ",[2]Arkusz1!D161)</f>
        <v xml:space="preserve"> </v>
      </c>
      <c r="J158" s="216">
        <f ca="1">IF(DATEDIF([2]Arkusz1!S161,TODAY(),"Y")&gt;21,0,DATEDIF([2]Arkusz1!S161,TODAY(),"Y"))</f>
        <v>0</v>
      </c>
      <c r="K158" s="4">
        <f>[2]Arkusz1!T161</f>
        <v>0</v>
      </c>
      <c r="L158" s="216">
        <f>[2]Arkusz1!U161</f>
        <v>0</v>
      </c>
      <c r="M158" s="4">
        <f>[2]Arkusz1!P161</f>
        <v>0</v>
      </c>
      <c r="N158" s="4">
        <f>[2]Arkusz1!Q161</f>
        <v>0</v>
      </c>
      <c r="O158" s="4">
        <f>[2]Arkusz1!V161</f>
        <v>0</v>
      </c>
      <c r="P158" s="4">
        <f t="shared" si="4"/>
        <v>176</v>
      </c>
      <c r="Q158" s="4">
        <f>[2]Arkusz1!Y161</f>
        <v>0</v>
      </c>
      <c r="R158" s="4" t="s">
        <v>64</v>
      </c>
      <c r="S158" s="4" t="s">
        <v>64</v>
      </c>
      <c r="T158" s="4">
        <f>[2]Arkusz1!AA161</f>
        <v>0</v>
      </c>
      <c r="U158" s="4" t="str">
        <f>IF([2]Arkusz1!O161=[2]Arkusz1!$O$7,"Z",IF([2]Arkusz1!O161=[2]Arkusz1!$O$15,"Ix3",IF([2]Arkusz1!O161=[2]Arkusz1!$O$20,"Ix1","Ix2")))</f>
        <v>Ix2</v>
      </c>
      <c r="V158" s="4">
        <f>[2]Arkusz1!AM161</f>
        <v>0</v>
      </c>
      <c r="W158" s="4">
        <f>[2]Arkusz1!AB162</f>
        <v>0</v>
      </c>
      <c r="X158" s="4" t="e">
        <f>_xlfn.TEXTBEFORE([2]Arkusz1!AC162," (")</f>
        <v>#N/A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I158" s="4" t="s">
        <v>546</v>
      </c>
      <c r="AJ158" s="4" t="s">
        <v>307</v>
      </c>
      <c r="AK158" s="4" t="s">
        <v>547</v>
      </c>
      <c r="AL158" s="4">
        <v>14210215037</v>
      </c>
      <c r="AM158" s="4">
        <v>0</v>
      </c>
      <c r="AN158" s="4">
        <v>0</v>
      </c>
      <c r="AP158" s="4">
        <f>[1]Hist!$X168</f>
        <v>0</v>
      </c>
    </row>
    <row r="159" spans="1:42" x14ac:dyDescent="0.2">
      <c r="A159" s="4">
        <v>158</v>
      </c>
      <c r="B159" s="215">
        <f>[2]Arkusz1!B162</f>
        <v>0</v>
      </c>
      <c r="C159" s="44" t="str">
        <f>_xlfn.CONCAT([2]Arkusz1!G162," ",[2]Arkusz1!H162)</f>
        <v xml:space="preserve"> </v>
      </c>
      <c r="D159" s="4" t="e">
        <f>_xlfn.XLOOKUP(H159,[4]Sheet1!$I$2:$I$40,[4]Sheet1!$Y$2:$Y$40,,2,1)</f>
        <v>#N/A</v>
      </c>
      <c r="E159" s="4" t="e">
        <f>_xlfn.XLOOKUP(H159,[4]Sheet1!$I$2:$I$40,[4]Sheet1!$K$2:$K$40,,2,1)</f>
        <v>#N/A</v>
      </c>
      <c r="F159" s="218" t="e">
        <f>_xlfn.XLOOKUP(H159,[4]Sheet1!$I$2:$I$40,[4]Sheet1!$J$2:$J$40,,2,1)</f>
        <v>#N/A</v>
      </c>
      <c r="G159" s="4">
        <f>[2]Arkusz1!E162</f>
        <v>0</v>
      </c>
      <c r="H159" s="4">
        <f>[2]Arkusz1!J162</f>
        <v>0</v>
      </c>
      <c r="I159" s="213" t="str">
        <f>_xlfn.CONCAT([2]Arkusz1!C162," ",[2]Arkusz1!D162)</f>
        <v xml:space="preserve"> </v>
      </c>
      <c r="J159" s="216">
        <f ca="1">IF(DATEDIF([2]Arkusz1!S162,TODAY(),"Y")&gt;21,0,DATEDIF([2]Arkusz1!S162,TODAY(),"Y"))</f>
        <v>0</v>
      </c>
      <c r="K159" s="4">
        <f>[2]Arkusz1!T162</f>
        <v>0</v>
      </c>
      <c r="L159" s="216">
        <f>[2]Arkusz1!U162</f>
        <v>0</v>
      </c>
      <c r="M159" s="4">
        <f>[2]Arkusz1!P162</f>
        <v>0</v>
      </c>
      <c r="N159" s="4">
        <f>[2]Arkusz1!Q162</f>
        <v>0</v>
      </c>
      <c r="O159" s="4">
        <f>[2]Arkusz1!V162</f>
        <v>0</v>
      </c>
      <c r="P159" s="4">
        <f t="shared" si="4"/>
        <v>176</v>
      </c>
      <c r="Q159" s="4">
        <f>[2]Arkusz1!Y162</f>
        <v>0</v>
      </c>
      <c r="R159" s="4" t="s">
        <v>64</v>
      </c>
      <c r="S159" s="4" t="s">
        <v>64</v>
      </c>
      <c r="T159" s="4">
        <f>[2]Arkusz1!AA162</f>
        <v>0</v>
      </c>
      <c r="U159" s="4" t="str">
        <f>IF([2]Arkusz1!O162=[2]Arkusz1!$O$7,"Z",IF([2]Arkusz1!O162=[2]Arkusz1!$O$15,"Ix3",IF([2]Arkusz1!O162=[2]Arkusz1!$O$20,"Ix1","Ix2")))</f>
        <v>Ix2</v>
      </c>
      <c r="V159" s="4">
        <f>[2]Arkusz1!AM162</f>
        <v>0</v>
      </c>
      <c r="W159" s="4">
        <f>[2]Arkusz1!AB163</f>
        <v>0</v>
      </c>
      <c r="X159" s="4" t="e">
        <f>_xlfn.TEXTBEFORE([2]Arkusz1!AC163," (")</f>
        <v>#N/A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I159" s="4" t="s">
        <v>546</v>
      </c>
      <c r="AJ159" s="4" t="s">
        <v>307</v>
      </c>
      <c r="AK159" s="4" t="s">
        <v>547</v>
      </c>
      <c r="AL159" s="4">
        <v>14210215037</v>
      </c>
      <c r="AM159" s="4">
        <v>0</v>
      </c>
      <c r="AN159" s="4">
        <v>0</v>
      </c>
      <c r="AP159" s="4">
        <f>[1]Hist!$X169</f>
        <v>0</v>
      </c>
    </row>
    <row r="160" spans="1:42" x14ac:dyDescent="0.2">
      <c r="A160" s="4">
        <v>159</v>
      </c>
      <c r="B160" s="215">
        <f>[2]Arkusz1!B163</f>
        <v>0</v>
      </c>
      <c r="C160" s="44" t="str">
        <f>_xlfn.CONCAT([2]Arkusz1!G163," ",[2]Arkusz1!H163)</f>
        <v xml:space="preserve"> </v>
      </c>
      <c r="D160" s="4" t="e">
        <f>_xlfn.XLOOKUP(H160,[4]Sheet1!$I$2:$I$40,[4]Sheet1!$Y$2:$Y$40,,2,1)</f>
        <v>#N/A</v>
      </c>
      <c r="E160" s="4" t="e">
        <f>_xlfn.XLOOKUP(H160,[4]Sheet1!$I$2:$I$40,[4]Sheet1!$K$2:$K$40,,2,1)</f>
        <v>#N/A</v>
      </c>
      <c r="F160" s="218" t="e">
        <f>_xlfn.XLOOKUP(H160,[4]Sheet1!$I$2:$I$40,[4]Sheet1!$J$2:$J$40,,2,1)</f>
        <v>#N/A</v>
      </c>
      <c r="G160" s="4">
        <f>[2]Arkusz1!E163</f>
        <v>0</v>
      </c>
      <c r="H160" s="4">
        <f>[2]Arkusz1!J163</f>
        <v>0</v>
      </c>
      <c r="I160" s="213" t="str">
        <f>_xlfn.CONCAT([2]Arkusz1!C163," ",[2]Arkusz1!D163)</f>
        <v xml:space="preserve"> </v>
      </c>
      <c r="J160" s="216">
        <f ca="1">IF(DATEDIF([2]Arkusz1!S163,TODAY(),"Y")&gt;21,0,DATEDIF([2]Arkusz1!S163,TODAY(),"Y"))</f>
        <v>0</v>
      </c>
      <c r="K160" s="4">
        <f>[2]Arkusz1!T163</f>
        <v>0</v>
      </c>
      <c r="L160" s="216">
        <f>[2]Arkusz1!U163</f>
        <v>0</v>
      </c>
      <c r="M160" s="4">
        <f>[2]Arkusz1!P163</f>
        <v>0</v>
      </c>
      <c r="N160" s="4">
        <f>[2]Arkusz1!Q163</f>
        <v>0</v>
      </c>
      <c r="O160" s="4">
        <f>[2]Arkusz1!V163</f>
        <v>0</v>
      </c>
      <c r="P160" s="4">
        <f t="shared" si="4"/>
        <v>176</v>
      </c>
      <c r="Q160" s="4">
        <f>[2]Arkusz1!Y163</f>
        <v>0</v>
      </c>
      <c r="R160" s="4" t="s">
        <v>64</v>
      </c>
      <c r="S160" s="4" t="s">
        <v>64</v>
      </c>
      <c r="T160" s="4">
        <f>[2]Arkusz1!AA163</f>
        <v>0</v>
      </c>
      <c r="U160" s="4" t="str">
        <f>IF([2]Arkusz1!O163=[2]Arkusz1!$O$7,"Z",IF([2]Arkusz1!O163=[2]Arkusz1!$O$15,"Ix3",IF([2]Arkusz1!O163=[2]Arkusz1!$O$20,"Ix1","Ix2")))</f>
        <v>Ix2</v>
      </c>
      <c r="V160" s="4">
        <f>[2]Arkusz1!AM163</f>
        <v>0</v>
      </c>
      <c r="W160" s="4">
        <f>[2]Arkusz1!AB164</f>
        <v>0</v>
      </c>
      <c r="X160" s="4" t="e">
        <f>_xlfn.TEXTBEFORE([2]Arkusz1!AC164," (")</f>
        <v>#N/A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I160" s="4" t="s">
        <v>546</v>
      </c>
      <c r="AJ160" s="4" t="s">
        <v>307</v>
      </c>
      <c r="AK160" s="4" t="s">
        <v>547</v>
      </c>
      <c r="AL160" s="4">
        <v>14210215037</v>
      </c>
      <c r="AM160" s="4">
        <v>0</v>
      </c>
      <c r="AN160" s="4">
        <v>0</v>
      </c>
      <c r="AP160" s="4">
        <f>[1]Hist!$X170</f>
        <v>0</v>
      </c>
    </row>
    <row r="161" spans="1:42" x14ac:dyDescent="0.2">
      <c r="A161" s="4">
        <v>160</v>
      </c>
      <c r="B161" s="215">
        <f>[2]Arkusz1!B164</f>
        <v>0</v>
      </c>
      <c r="C161" s="44" t="str">
        <f>_xlfn.CONCAT([2]Arkusz1!G164," ",[2]Arkusz1!H164)</f>
        <v xml:space="preserve"> </v>
      </c>
      <c r="D161" s="4" t="e">
        <f>_xlfn.XLOOKUP(H161,[4]Sheet1!$I$2:$I$40,[4]Sheet1!$Y$2:$Y$40,,2,1)</f>
        <v>#N/A</v>
      </c>
      <c r="E161" s="4" t="e">
        <f>_xlfn.XLOOKUP(H161,[4]Sheet1!$I$2:$I$40,[4]Sheet1!$K$2:$K$40,,2,1)</f>
        <v>#N/A</v>
      </c>
      <c r="F161" s="218" t="e">
        <f>_xlfn.XLOOKUP(H161,[4]Sheet1!$I$2:$I$40,[4]Sheet1!$J$2:$J$40,,2,1)</f>
        <v>#N/A</v>
      </c>
      <c r="G161" s="4">
        <f>[2]Arkusz1!E164</f>
        <v>0</v>
      </c>
      <c r="H161" s="4">
        <f>[2]Arkusz1!J164</f>
        <v>0</v>
      </c>
      <c r="I161" s="213" t="str">
        <f>_xlfn.CONCAT([2]Arkusz1!C164," ",[2]Arkusz1!D164)</f>
        <v xml:space="preserve"> </v>
      </c>
      <c r="J161" s="216">
        <f ca="1">IF(DATEDIF([2]Arkusz1!S164,TODAY(),"Y")&gt;21,0,DATEDIF([2]Arkusz1!S164,TODAY(),"Y"))</f>
        <v>0</v>
      </c>
      <c r="K161" s="4">
        <f>[2]Arkusz1!T164</f>
        <v>0</v>
      </c>
      <c r="L161" s="216">
        <f>[2]Arkusz1!U164</f>
        <v>0</v>
      </c>
      <c r="M161" s="4">
        <f>[2]Arkusz1!P164</f>
        <v>0</v>
      </c>
      <c r="N161" s="4">
        <f>[2]Arkusz1!Q164</f>
        <v>0</v>
      </c>
      <c r="O161" s="4">
        <f>[2]Arkusz1!V164</f>
        <v>0</v>
      </c>
      <c r="P161" s="4">
        <f t="shared" si="4"/>
        <v>176</v>
      </c>
      <c r="Q161" s="4">
        <f>[2]Arkusz1!Y164</f>
        <v>0</v>
      </c>
      <c r="R161" s="4" t="s">
        <v>64</v>
      </c>
      <c r="S161" s="4" t="s">
        <v>64</v>
      </c>
      <c r="T161" s="4">
        <f>[2]Arkusz1!AA164</f>
        <v>0</v>
      </c>
      <c r="U161" s="4" t="str">
        <f>IF([2]Arkusz1!O164=[2]Arkusz1!$O$7,"Z",IF([2]Arkusz1!O164=[2]Arkusz1!$O$15,"Ix3",IF([2]Arkusz1!O164=[2]Arkusz1!$O$20,"Ix1","Ix2")))</f>
        <v>Ix2</v>
      </c>
      <c r="V161" s="4">
        <f>[2]Arkusz1!AM164</f>
        <v>0</v>
      </c>
      <c r="W161" s="4">
        <f>[2]Arkusz1!AB165</f>
        <v>0</v>
      </c>
      <c r="X161" s="4" t="e">
        <f>_xlfn.TEXTBEFORE([2]Arkusz1!AC165," (")</f>
        <v>#N/A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I161" s="4" t="s">
        <v>546</v>
      </c>
      <c r="AJ161" s="4" t="s">
        <v>307</v>
      </c>
      <c r="AK161" s="4" t="s">
        <v>547</v>
      </c>
      <c r="AL161" s="4">
        <v>14210215037</v>
      </c>
      <c r="AM161" s="4">
        <v>0</v>
      </c>
      <c r="AN161" s="4">
        <v>0</v>
      </c>
      <c r="AP161" s="4">
        <f>[1]Hist!$X171</f>
        <v>0</v>
      </c>
    </row>
    <row r="162" spans="1:42" x14ac:dyDescent="0.2">
      <c r="A162" s="4">
        <v>161</v>
      </c>
      <c r="B162" s="215">
        <f>[2]Arkusz1!B165</f>
        <v>0</v>
      </c>
      <c r="C162" s="44" t="str">
        <f>_xlfn.CONCAT([2]Arkusz1!G165," ",[2]Arkusz1!H165)</f>
        <v xml:space="preserve"> </v>
      </c>
      <c r="D162" s="4" t="e">
        <f>_xlfn.XLOOKUP(H162,[4]Sheet1!$I$2:$I$40,[4]Sheet1!$Y$2:$Y$40,,2,1)</f>
        <v>#N/A</v>
      </c>
      <c r="E162" s="4" t="e">
        <f>_xlfn.XLOOKUP(H162,[4]Sheet1!$I$2:$I$40,[4]Sheet1!$K$2:$K$40,,2,1)</f>
        <v>#N/A</v>
      </c>
      <c r="F162" s="218" t="e">
        <f>_xlfn.XLOOKUP(H162,[4]Sheet1!$I$2:$I$40,[4]Sheet1!$J$2:$J$40,,2,1)</f>
        <v>#N/A</v>
      </c>
      <c r="G162" s="4">
        <f>[2]Arkusz1!E165</f>
        <v>0</v>
      </c>
      <c r="H162" s="4">
        <f>[2]Arkusz1!J165</f>
        <v>0</v>
      </c>
      <c r="I162" s="213" t="str">
        <f>_xlfn.CONCAT([2]Arkusz1!C165," ",[2]Arkusz1!D165)</f>
        <v xml:space="preserve"> </v>
      </c>
      <c r="J162" s="216">
        <f ca="1">IF(DATEDIF([2]Arkusz1!S165,TODAY(),"Y")&gt;21,0,DATEDIF([2]Arkusz1!S165,TODAY(),"Y"))</f>
        <v>0</v>
      </c>
      <c r="K162" s="4">
        <f>[2]Arkusz1!T165</f>
        <v>0</v>
      </c>
      <c r="L162" s="216">
        <f>[2]Arkusz1!U165</f>
        <v>0</v>
      </c>
      <c r="M162" s="4">
        <f>[2]Arkusz1!P165</f>
        <v>0</v>
      </c>
      <c r="N162" s="4">
        <f>[2]Arkusz1!Q165</f>
        <v>0</v>
      </c>
      <c r="O162" s="4">
        <f>[2]Arkusz1!V165</f>
        <v>0</v>
      </c>
      <c r="P162" s="4">
        <f t="shared" si="4"/>
        <v>176</v>
      </c>
      <c r="Q162" s="4">
        <f>[2]Arkusz1!Y165</f>
        <v>0</v>
      </c>
      <c r="R162" s="4" t="s">
        <v>64</v>
      </c>
      <c r="S162" s="4" t="s">
        <v>64</v>
      </c>
      <c r="T162" s="4">
        <f>[2]Arkusz1!AA165</f>
        <v>0</v>
      </c>
      <c r="U162" s="4" t="str">
        <f>IF([2]Arkusz1!O165=[2]Arkusz1!$O$7,"Z",IF([2]Arkusz1!O165=[2]Arkusz1!$O$15,"Ix3",IF([2]Arkusz1!O165=[2]Arkusz1!$O$20,"Ix1","Ix2")))</f>
        <v>Ix2</v>
      </c>
      <c r="V162" s="4">
        <f>[2]Arkusz1!AM165</f>
        <v>0</v>
      </c>
      <c r="W162" s="4">
        <f>[2]Arkusz1!AB166</f>
        <v>0</v>
      </c>
      <c r="X162" s="4" t="e">
        <f>_xlfn.TEXTBEFORE([2]Arkusz1!AC166," (")</f>
        <v>#N/A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I162" s="4" t="s">
        <v>546</v>
      </c>
      <c r="AJ162" s="4" t="s">
        <v>307</v>
      </c>
      <c r="AK162" s="4" t="s">
        <v>547</v>
      </c>
      <c r="AL162" s="4">
        <v>14210215037</v>
      </c>
      <c r="AM162" s="4">
        <v>0</v>
      </c>
      <c r="AN162" s="4">
        <v>0</v>
      </c>
      <c r="AP162" s="4">
        <f>[1]Hist!$X172</f>
        <v>0</v>
      </c>
    </row>
    <row r="163" spans="1:42" x14ac:dyDescent="0.2">
      <c r="A163" s="4">
        <v>162</v>
      </c>
      <c r="B163" s="215">
        <f>[2]Arkusz1!B166</f>
        <v>0</v>
      </c>
      <c r="C163" s="44" t="str">
        <f>_xlfn.CONCAT([2]Arkusz1!G166," ",[2]Arkusz1!H166)</f>
        <v xml:space="preserve"> </v>
      </c>
      <c r="D163" s="4" t="e">
        <f>_xlfn.XLOOKUP(H163,[4]Sheet1!$I$2:$I$40,[4]Sheet1!$Y$2:$Y$40,,2,1)</f>
        <v>#N/A</v>
      </c>
      <c r="E163" s="4" t="e">
        <f>_xlfn.XLOOKUP(H163,[4]Sheet1!$I$2:$I$40,[4]Sheet1!$K$2:$K$40,,2,1)</f>
        <v>#N/A</v>
      </c>
      <c r="F163" s="218" t="e">
        <f>_xlfn.XLOOKUP(H163,[4]Sheet1!$I$2:$I$40,[4]Sheet1!$J$2:$J$40,,2,1)</f>
        <v>#N/A</v>
      </c>
      <c r="G163" s="4">
        <f>[2]Arkusz1!E166</f>
        <v>0</v>
      </c>
      <c r="H163" s="4">
        <f>[2]Arkusz1!J166</f>
        <v>0</v>
      </c>
      <c r="I163" s="213" t="str">
        <f>_xlfn.CONCAT([2]Arkusz1!C166," ",[2]Arkusz1!D166)</f>
        <v xml:space="preserve"> </v>
      </c>
      <c r="J163" s="216">
        <f ca="1">IF(DATEDIF([2]Arkusz1!S166,TODAY(),"Y")&gt;21,0,DATEDIF([2]Arkusz1!S166,TODAY(),"Y"))</f>
        <v>0</v>
      </c>
      <c r="K163" s="4">
        <f>[2]Arkusz1!T166</f>
        <v>0</v>
      </c>
      <c r="L163" s="216">
        <f>[2]Arkusz1!U166</f>
        <v>0</v>
      </c>
      <c r="M163" s="4">
        <f>[2]Arkusz1!P166</f>
        <v>0</v>
      </c>
      <c r="N163" s="4">
        <f>[2]Arkusz1!Q166</f>
        <v>0</v>
      </c>
      <c r="O163" s="4">
        <f>[2]Arkusz1!V166</f>
        <v>0</v>
      </c>
      <c r="P163" s="4">
        <f t="shared" si="4"/>
        <v>176</v>
      </c>
      <c r="Q163" s="4">
        <f>[2]Arkusz1!Y166</f>
        <v>0</v>
      </c>
      <c r="R163" s="4" t="s">
        <v>64</v>
      </c>
      <c r="S163" s="4" t="s">
        <v>64</v>
      </c>
      <c r="T163" s="4">
        <f>[2]Arkusz1!AA166</f>
        <v>0</v>
      </c>
      <c r="U163" s="4" t="str">
        <f>IF([2]Arkusz1!O166=[2]Arkusz1!$O$7,"Z",IF([2]Arkusz1!O166=[2]Arkusz1!$O$15,"Ix3",IF([2]Arkusz1!O166=[2]Arkusz1!$O$20,"Ix1","Ix2")))</f>
        <v>Ix2</v>
      </c>
      <c r="V163" s="4">
        <f>[2]Arkusz1!AM166</f>
        <v>0</v>
      </c>
      <c r="W163" s="4">
        <f>[2]Arkusz1!AB167</f>
        <v>0</v>
      </c>
      <c r="X163" s="4" t="e">
        <f>_xlfn.TEXTBEFORE([2]Arkusz1!AC167," (")</f>
        <v>#N/A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I163" s="4" t="s">
        <v>546</v>
      </c>
      <c r="AJ163" s="4" t="s">
        <v>307</v>
      </c>
      <c r="AK163" s="4" t="s">
        <v>547</v>
      </c>
      <c r="AL163" s="4">
        <v>14210215037</v>
      </c>
      <c r="AM163" s="4">
        <v>0</v>
      </c>
      <c r="AN163" s="4">
        <v>0</v>
      </c>
      <c r="AP163" s="4">
        <f>[1]Hist!$X173</f>
        <v>0</v>
      </c>
    </row>
    <row r="164" spans="1:42" x14ac:dyDescent="0.2">
      <c r="A164" s="4">
        <v>163</v>
      </c>
      <c r="B164" s="215">
        <f>[2]Arkusz1!B167</f>
        <v>0</v>
      </c>
      <c r="C164" s="44" t="str">
        <f>_xlfn.CONCAT([2]Arkusz1!G167," ",[2]Arkusz1!H167)</f>
        <v xml:space="preserve"> </v>
      </c>
      <c r="D164" s="4" t="e">
        <f>_xlfn.XLOOKUP(H164,[4]Sheet1!$I$2:$I$40,[4]Sheet1!$Y$2:$Y$40,,2,1)</f>
        <v>#N/A</v>
      </c>
      <c r="E164" s="4" t="e">
        <f>_xlfn.XLOOKUP(H164,[4]Sheet1!$I$2:$I$40,[4]Sheet1!$K$2:$K$40,,2,1)</f>
        <v>#N/A</v>
      </c>
      <c r="F164" s="218" t="e">
        <f>_xlfn.XLOOKUP(H164,[4]Sheet1!$I$2:$I$40,[4]Sheet1!$J$2:$J$40,,2,1)</f>
        <v>#N/A</v>
      </c>
      <c r="G164" s="4">
        <f>[2]Arkusz1!E167</f>
        <v>0</v>
      </c>
      <c r="H164" s="4">
        <f>[2]Arkusz1!J167</f>
        <v>0</v>
      </c>
      <c r="I164" s="213" t="str">
        <f>_xlfn.CONCAT([2]Arkusz1!C167," ",[2]Arkusz1!D167)</f>
        <v xml:space="preserve"> </v>
      </c>
      <c r="J164" s="216">
        <f ca="1">IF(DATEDIF([2]Arkusz1!S167,TODAY(),"Y")&gt;21,0,DATEDIF([2]Arkusz1!S167,TODAY(),"Y"))</f>
        <v>0</v>
      </c>
      <c r="K164" s="4">
        <f>[2]Arkusz1!T167</f>
        <v>0</v>
      </c>
      <c r="L164" s="216">
        <f>[2]Arkusz1!U167</f>
        <v>0</v>
      </c>
      <c r="M164" s="4">
        <f>[2]Arkusz1!P167</f>
        <v>0</v>
      </c>
      <c r="N164" s="4">
        <f>[2]Arkusz1!Q167</f>
        <v>0</v>
      </c>
      <c r="O164" s="4">
        <f>[2]Arkusz1!V167</f>
        <v>0</v>
      </c>
      <c r="P164" s="4">
        <f t="shared" si="4"/>
        <v>176</v>
      </c>
      <c r="Q164" s="4">
        <f>[2]Arkusz1!Y167</f>
        <v>0</v>
      </c>
      <c r="R164" s="4" t="s">
        <v>64</v>
      </c>
      <c r="S164" s="4" t="s">
        <v>64</v>
      </c>
      <c r="T164" s="4">
        <f>[2]Arkusz1!AA167</f>
        <v>0</v>
      </c>
      <c r="U164" s="4" t="str">
        <f>IF([2]Arkusz1!O167=[2]Arkusz1!$O$7,"Z",IF([2]Arkusz1!O167=[2]Arkusz1!$O$15,"Ix3",IF([2]Arkusz1!O167=[2]Arkusz1!$O$20,"Ix1","Ix2")))</f>
        <v>Ix2</v>
      </c>
      <c r="V164" s="4">
        <f>[2]Arkusz1!AM167</f>
        <v>0</v>
      </c>
      <c r="W164" s="4">
        <f>[2]Arkusz1!AB168</f>
        <v>0</v>
      </c>
      <c r="X164" s="4" t="e">
        <f>_xlfn.TEXTBEFORE([2]Arkusz1!AC168," (")</f>
        <v>#N/A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I164" s="4" t="s">
        <v>546</v>
      </c>
      <c r="AJ164" s="4" t="s">
        <v>307</v>
      </c>
      <c r="AK164" s="4" t="s">
        <v>547</v>
      </c>
      <c r="AL164" s="4">
        <v>14210215037</v>
      </c>
      <c r="AM164" s="4">
        <v>0</v>
      </c>
      <c r="AN164" s="4">
        <v>0</v>
      </c>
      <c r="AP164" s="4">
        <f>[1]Hist!$X174</f>
        <v>0</v>
      </c>
    </row>
    <row r="165" spans="1:42" x14ac:dyDescent="0.2">
      <c r="A165" s="4">
        <v>164</v>
      </c>
      <c r="B165" s="215">
        <f>[2]Arkusz1!B168</f>
        <v>0</v>
      </c>
      <c r="C165" s="44" t="str">
        <f>_xlfn.CONCAT([2]Arkusz1!G168," ",[2]Arkusz1!H168)</f>
        <v xml:space="preserve"> </v>
      </c>
      <c r="D165" s="4" t="e">
        <f>_xlfn.XLOOKUP(H165,[4]Sheet1!$I$2:$I$40,[4]Sheet1!$Y$2:$Y$40,,2,1)</f>
        <v>#N/A</v>
      </c>
      <c r="E165" s="4" t="e">
        <f>_xlfn.XLOOKUP(H165,[4]Sheet1!$I$2:$I$40,[4]Sheet1!$K$2:$K$40,,2,1)</f>
        <v>#N/A</v>
      </c>
      <c r="F165" s="218" t="e">
        <f>_xlfn.XLOOKUP(H165,[4]Sheet1!$I$2:$I$40,[4]Sheet1!$J$2:$J$40,,2,1)</f>
        <v>#N/A</v>
      </c>
      <c r="G165" s="4">
        <f>[2]Arkusz1!E168</f>
        <v>0</v>
      </c>
      <c r="H165" s="4">
        <f>[2]Arkusz1!J168</f>
        <v>0</v>
      </c>
      <c r="I165" s="213" t="str">
        <f>_xlfn.CONCAT([2]Arkusz1!C168," ",[2]Arkusz1!D168)</f>
        <v xml:space="preserve"> </v>
      </c>
      <c r="J165" s="216">
        <f ca="1">IF(DATEDIF([2]Arkusz1!S168,TODAY(),"Y")&gt;21,0,DATEDIF([2]Arkusz1!S168,TODAY(),"Y"))</f>
        <v>0</v>
      </c>
      <c r="K165" s="4">
        <f>[2]Arkusz1!T168</f>
        <v>0</v>
      </c>
      <c r="L165" s="216">
        <f>[2]Arkusz1!U168</f>
        <v>0</v>
      </c>
      <c r="M165" s="4">
        <f>[2]Arkusz1!P168</f>
        <v>0</v>
      </c>
      <c r="N165" s="4">
        <f>[2]Arkusz1!Q168</f>
        <v>0</v>
      </c>
      <c r="O165" s="4">
        <f>[2]Arkusz1!V168</f>
        <v>0</v>
      </c>
      <c r="P165" s="4">
        <f t="shared" si="4"/>
        <v>176</v>
      </c>
      <c r="Q165" s="4">
        <f>[2]Arkusz1!Y168</f>
        <v>0</v>
      </c>
      <c r="R165" s="4" t="s">
        <v>64</v>
      </c>
      <c r="S165" s="4" t="s">
        <v>64</v>
      </c>
      <c r="T165" s="4">
        <f>[2]Arkusz1!AA168</f>
        <v>0</v>
      </c>
      <c r="U165" s="4" t="str">
        <f>IF([2]Arkusz1!O168=[2]Arkusz1!$O$7,"Z",IF([2]Arkusz1!O168=[2]Arkusz1!$O$15,"Ix3",IF([2]Arkusz1!O168=[2]Arkusz1!$O$20,"Ix1","Ix2")))</f>
        <v>Ix2</v>
      </c>
      <c r="V165" s="4">
        <f>[2]Arkusz1!AM168</f>
        <v>0</v>
      </c>
      <c r="W165" s="4">
        <f>[2]Arkusz1!AB169</f>
        <v>0</v>
      </c>
      <c r="X165" s="4" t="e">
        <f>_xlfn.TEXTBEFORE([2]Arkusz1!AC169," (")</f>
        <v>#N/A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I165" s="4" t="s">
        <v>546</v>
      </c>
      <c r="AJ165" s="4" t="s">
        <v>307</v>
      </c>
      <c r="AK165" s="4" t="s">
        <v>547</v>
      </c>
      <c r="AL165" s="4">
        <v>14210215037</v>
      </c>
      <c r="AM165" s="4">
        <v>0</v>
      </c>
      <c r="AN165" s="4">
        <v>0</v>
      </c>
      <c r="AP165" s="4">
        <f>[1]Hist!$X175</f>
        <v>0</v>
      </c>
    </row>
    <row r="166" spans="1:42" x14ac:dyDescent="0.2">
      <c r="A166" s="4">
        <v>165</v>
      </c>
      <c r="B166" s="215">
        <f>[2]Arkusz1!B169</f>
        <v>0</v>
      </c>
      <c r="C166" s="44" t="str">
        <f>_xlfn.CONCAT([2]Arkusz1!G169," ",[2]Arkusz1!H169)</f>
        <v xml:space="preserve"> </v>
      </c>
      <c r="D166" s="4" t="e">
        <f>_xlfn.XLOOKUP(H166,[4]Sheet1!$I$2:$I$40,[4]Sheet1!$Y$2:$Y$40,,2,1)</f>
        <v>#N/A</v>
      </c>
      <c r="E166" s="4" t="e">
        <f>_xlfn.XLOOKUP(H166,[4]Sheet1!$I$2:$I$40,[4]Sheet1!$K$2:$K$40,,2,1)</f>
        <v>#N/A</v>
      </c>
      <c r="F166" s="218" t="e">
        <f>_xlfn.XLOOKUP(H166,[4]Sheet1!$I$2:$I$40,[4]Sheet1!$J$2:$J$40,,2,1)</f>
        <v>#N/A</v>
      </c>
      <c r="G166" s="4">
        <f>[2]Arkusz1!E169</f>
        <v>0</v>
      </c>
      <c r="H166" s="4">
        <f>[2]Arkusz1!J169</f>
        <v>0</v>
      </c>
      <c r="I166" s="213" t="str">
        <f>_xlfn.CONCAT([2]Arkusz1!C169," ",[2]Arkusz1!D169)</f>
        <v xml:space="preserve"> </v>
      </c>
      <c r="J166" s="216">
        <f ca="1">IF(DATEDIF([2]Arkusz1!S169,TODAY(),"Y")&gt;21,0,DATEDIF([2]Arkusz1!S169,TODAY(),"Y"))</f>
        <v>0</v>
      </c>
      <c r="K166" s="4">
        <f>[2]Arkusz1!T169</f>
        <v>0</v>
      </c>
      <c r="L166" s="216">
        <f>[2]Arkusz1!U169</f>
        <v>0</v>
      </c>
      <c r="M166" s="4">
        <f>[2]Arkusz1!P169</f>
        <v>0</v>
      </c>
      <c r="N166" s="4">
        <f>[2]Arkusz1!Q169</f>
        <v>0</v>
      </c>
      <c r="O166" s="4">
        <f>[2]Arkusz1!V169</f>
        <v>0</v>
      </c>
      <c r="P166" s="4">
        <f t="shared" si="4"/>
        <v>176</v>
      </c>
      <c r="Q166" s="4">
        <f>[2]Arkusz1!Y169</f>
        <v>0</v>
      </c>
      <c r="R166" s="4" t="s">
        <v>64</v>
      </c>
      <c r="S166" s="4" t="s">
        <v>64</v>
      </c>
      <c r="T166" s="4">
        <f>[2]Arkusz1!AA169</f>
        <v>0</v>
      </c>
      <c r="U166" s="4" t="str">
        <f>IF([2]Arkusz1!O169=[2]Arkusz1!$O$7,"Z",IF([2]Arkusz1!O169=[2]Arkusz1!$O$15,"Ix3",IF([2]Arkusz1!O169=[2]Arkusz1!$O$20,"Ix1","Ix2")))</f>
        <v>Ix2</v>
      </c>
      <c r="V166" s="4">
        <f>[2]Arkusz1!AM169</f>
        <v>0</v>
      </c>
      <c r="W166" s="4">
        <f>[2]Arkusz1!AB170</f>
        <v>0</v>
      </c>
      <c r="X166" s="4" t="e">
        <f>_xlfn.TEXTBEFORE([2]Arkusz1!AC170," (")</f>
        <v>#N/A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I166" s="4" t="s">
        <v>546</v>
      </c>
      <c r="AJ166" s="4" t="s">
        <v>307</v>
      </c>
      <c r="AK166" s="4" t="s">
        <v>547</v>
      </c>
      <c r="AL166" s="4">
        <v>14210215037</v>
      </c>
      <c r="AM166" s="4">
        <v>0</v>
      </c>
      <c r="AN166" s="4">
        <v>0</v>
      </c>
      <c r="AP166" s="4">
        <f>[1]Hist!$X176</f>
        <v>0</v>
      </c>
    </row>
    <row r="167" spans="1:42" x14ac:dyDescent="0.2">
      <c r="A167" s="4">
        <v>166</v>
      </c>
      <c r="B167" s="215">
        <f>[2]Arkusz1!B170</f>
        <v>0</v>
      </c>
      <c r="C167" s="44" t="str">
        <f>_xlfn.CONCAT([2]Arkusz1!G170," ",[2]Arkusz1!H170)</f>
        <v xml:space="preserve"> </v>
      </c>
      <c r="D167" s="4" t="e">
        <f>_xlfn.XLOOKUP(H167,[4]Sheet1!$I$2:$I$40,[4]Sheet1!$Y$2:$Y$40,,2,1)</f>
        <v>#N/A</v>
      </c>
      <c r="E167" s="4" t="e">
        <f>_xlfn.XLOOKUP(H167,[4]Sheet1!$I$2:$I$40,[4]Sheet1!$K$2:$K$40,,2,1)</f>
        <v>#N/A</v>
      </c>
      <c r="F167" s="218" t="e">
        <f>_xlfn.XLOOKUP(H167,[4]Sheet1!$I$2:$I$40,[4]Sheet1!$J$2:$J$40,,2,1)</f>
        <v>#N/A</v>
      </c>
      <c r="G167" s="4">
        <f>[2]Arkusz1!E170</f>
        <v>0</v>
      </c>
      <c r="H167" s="4">
        <f>[2]Arkusz1!J170</f>
        <v>0</v>
      </c>
      <c r="I167" s="213" t="str">
        <f>_xlfn.CONCAT([2]Arkusz1!C170," ",[2]Arkusz1!D170)</f>
        <v xml:space="preserve"> </v>
      </c>
      <c r="J167" s="216">
        <f ca="1">IF(DATEDIF([2]Arkusz1!S170,TODAY(),"Y")&gt;21,0,DATEDIF([2]Arkusz1!S170,TODAY(),"Y"))</f>
        <v>0</v>
      </c>
      <c r="K167" s="4">
        <f>[2]Arkusz1!T170</f>
        <v>0</v>
      </c>
      <c r="L167" s="216">
        <f>[2]Arkusz1!U170</f>
        <v>0</v>
      </c>
      <c r="M167" s="4">
        <f>[2]Arkusz1!P170</f>
        <v>0</v>
      </c>
      <c r="N167" s="4">
        <f>[2]Arkusz1!Q170</f>
        <v>0</v>
      </c>
      <c r="O167" s="4">
        <f>[2]Arkusz1!V170</f>
        <v>0</v>
      </c>
      <c r="P167" s="4">
        <f t="shared" si="4"/>
        <v>176</v>
      </c>
      <c r="Q167" s="4">
        <f>[2]Arkusz1!Y170</f>
        <v>0</v>
      </c>
      <c r="R167" s="4" t="s">
        <v>64</v>
      </c>
      <c r="S167" s="4" t="s">
        <v>64</v>
      </c>
      <c r="T167" s="4">
        <f>[2]Arkusz1!AA170</f>
        <v>0</v>
      </c>
      <c r="U167" s="4" t="str">
        <f>IF([2]Arkusz1!O170=[2]Arkusz1!$O$7,"Z",IF([2]Arkusz1!O170=[2]Arkusz1!$O$15,"Ix3",IF([2]Arkusz1!O170=[2]Arkusz1!$O$20,"Ix1","Ix2")))</f>
        <v>Ix2</v>
      </c>
      <c r="V167" s="4">
        <f>[2]Arkusz1!AM170</f>
        <v>0</v>
      </c>
      <c r="W167" s="4">
        <f>[2]Arkusz1!AB171</f>
        <v>0</v>
      </c>
      <c r="X167" s="4" t="e">
        <f>_xlfn.TEXTBEFORE([2]Arkusz1!AC171," (")</f>
        <v>#N/A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I167" s="4" t="s">
        <v>546</v>
      </c>
      <c r="AJ167" s="4" t="s">
        <v>307</v>
      </c>
      <c r="AK167" s="4" t="s">
        <v>547</v>
      </c>
      <c r="AL167" s="4">
        <v>14210215037</v>
      </c>
      <c r="AM167" s="4">
        <v>0</v>
      </c>
      <c r="AN167" s="4">
        <v>0</v>
      </c>
      <c r="AP167" s="4">
        <f>[1]Hist!$X177</f>
        <v>0</v>
      </c>
    </row>
    <row r="168" spans="1:42" x14ac:dyDescent="0.2">
      <c r="A168" s="4">
        <v>167</v>
      </c>
      <c r="B168" s="215">
        <f>[2]Arkusz1!B171</f>
        <v>0</v>
      </c>
      <c r="C168" s="44" t="str">
        <f>_xlfn.CONCAT([2]Arkusz1!G171," ",[2]Arkusz1!H171)</f>
        <v xml:space="preserve"> </v>
      </c>
      <c r="D168" s="4" t="e">
        <f>_xlfn.XLOOKUP(H168,[4]Sheet1!$I$2:$I$40,[4]Sheet1!$Y$2:$Y$40,,2,1)</f>
        <v>#N/A</v>
      </c>
      <c r="E168" s="4" t="e">
        <f>_xlfn.XLOOKUP(H168,[4]Sheet1!$I$2:$I$40,[4]Sheet1!$K$2:$K$40,,2,1)</f>
        <v>#N/A</v>
      </c>
      <c r="F168" s="218" t="e">
        <f>_xlfn.XLOOKUP(H168,[4]Sheet1!$I$2:$I$40,[4]Sheet1!$J$2:$J$40,,2,1)</f>
        <v>#N/A</v>
      </c>
      <c r="G168" s="4">
        <f>[2]Arkusz1!E171</f>
        <v>0</v>
      </c>
      <c r="H168" s="4">
        <f>[2]Arkusz1!J171</f>
        <v>0</v>
      </c>
      <c r="I168" s="213" t="str">
        <f>_xlfn.CONCAT([2]Arkusz1!C171," ",[2]Arkusz1!D171)</f>
        <v xml:space="preserve"> </v>
      </c>
      <c r="J168" s="216">
        <f ca="1">IF(DATEDIF([2]Arkusz1!S171,TODAY(),"Y")&gt;21,0,DATEDIF([2]Arkusz1!S171,TODAY(),"Y"))</f>
        <v>0</v>
      </c>
      <c r="K168" s="4">
        <f>[2]Arkusz1!T171</f>
        <v>0</v>
      </c>
      <c r="L168" s="216">
        <f>[2]Arkusz1!U171</f>
        <v>0</v>
      </c>
      <c r="M168" s="4">
        <f>[2]Arkusz1!P171</f>
        <v>0</v>
      </c>
      <c r="N168" s="4">
        <f>[2]Arkusz1!Q171</f>
        <v>0</v>
      </c>
      <c r="O168" s="4">
        <f>[2]Arkusz1!V171</f>
        <v>0</v>
      </c>
      <c r="P168" s="4">
        <f t="shared" si="4"/>
        <v>176</v>
      </c>
      <c r="Q168" s="4">
        <f>[2]Arkusz1!Y171</f>
        <v>0</v>
      </c>
      <c r="R168" s="4" t="s">
        <v>64</v>
      </c>
      <c r="S168" s="4" t="s">
        <v>64</v>
      </c>
      <c r="T168" s="4">
        <f>[2]Arkusz1!AA171</f>
        <v>0</v>
      </c>
      <c r="U168" s="4" t="str">
        <f>IF([2]Arkusz1!O171=[2]Arkusz1!$O$7,"Z",IF([2]Arkusz1!O171=[2]Arkusz1!$O$15,"Ix3",IF([2]Arkusz1!O171=[2]Arkusz1!$O$20,"Ix1","Ix2")))</f>
        <v>Ix2</v>
      </c>
      <c r="V168" s="4">
        <f>[2]Arkusz1!AM171</f>
        <v>0</v>
      </c>
      <c r="W168" s="4">
        <f>[2]Arkusz1!AB172</f>
        <v>0</v>
      </c>
      <c r="X168" s="4" t="e">
        <f>_xlfn.TEXTBEFORE([2]Arkusz1!AC172," (")</f>
        <v>#N/A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I168" s="4" t="s">
        <v>546</v>
      </c>
      <c r="AJ168" s="4" t="s">
        <v>307</v>
      </c>
      <c r="AK168" s="4" t="s">
        <v>547</v>
      </c>
      <c r="AL168" s="4">
        <v>14210215037</v>
      </c>
      <c r="AM168" s="4">
        <v>0</v>
      </c>
      <c r="AN168" s="4">
        <v>0</v>
      </c>
      <c r="AP168" s="4">
        <f>[1]Hist!$X178</f>
        <v>0</v>
      </c>
    </row>
    <row r="169" spans="1:42" x14ac:dyDescent="0.2">
      <c r="A169" s="4">
        <v>168</v>
      </c>
      <c r="B169" s="215">
        <f>[2]Arkusz1!B172</f>
        <v>0</v>
      </c>
      <c r="C169" s="44" t="str">
        <f>_xlfn.CONCAT([2]Arkusz1!G172," ",[2]Arkusz1!H172)</f>
        <v xml:space="preserve"> </v>
      </c>
      <c r="D169" s="4" t="e">
        <f>_xlfn.XLOOKUP(H169,[4]Sheet1!$I$2:$I$40,[4]Sheet1!$Y$2:$Y$40,,2,1)</f>
        <v>#N/A</v>
      </c>
      <c r="E169" s="4" t="e">
        <f>_xlfn.XLOOKUP(H169,[4]Sheet1!$I$2:$I$40,[4]Sheet1!$K$2:$K$40,,2,1)</f>
        <v>#N/A</v>
      </c>
      <c r="F169" s="218" t="e">
        <f>_xlfn.XLOOKUP(H169,[4]Sheet1!$I$2:$I$40,[4]Sheet1!$J$2:$J$40,,2,1)</f>
        <v>#N/A</v>
      </c>
      <c r="G169" s="4">
        <f>[2]Arkusz1!E172</f>
        <v>0</v>
      </c>
      <c r="H169" s="4">
        <f>[2]Arkusz1!J172</f>
        <v>0</v>
      </c>
      <c r="I169" s="213" t="str">
        <f>_xlfn.CONCAT([2]Arkusz1!C172," ",[2]Arkusz1!D172)</f>
        <v xml:space="preserve"> </v>
      </c>
      <c r="J169" s="216">
        <f ca="1">IF(DATEDIF([2]Arkusz1!S172,TODAY(),"Y")&gt;21,0,DATEDIF([2]Arkusz1!S172,TODAY(),"Y"))</f>
        <v>0</v>
      </c>
      <c r="K169" s="4">
        <f>[2]Arkusz1!T172</f>
        <v>0</v>
      </c>
      <c r="L169" s="216">
        <f>[2]Arkusz1!U172</f>
        <v>0</v>
      </c>
      <c r="M169" s="4">
        <f>[2]Arkusz1!P172</f>
        <v>0</v>
      </c>
      <c r="N169" s="4">
        <f>[2]Arkusz1!Q172</f>
        <v>0</v>
      </c>
      <c r="O169" s="4">
        <f>[2]Arkusz1!V172</f>
        <v>0</v>
      </c>
      <c r="P169" s="4">
        <f t="shared" si="4"/>
        <v>176</v>
      </c>
      <c r="Q169" s="4">
        <f>[2]Arkusz1!Y172</f>
        <v>0</v>
      </c>
      <c r="R169" s="4" t="s">
        <v>64</v>
      </c>
      <c r="S169" s="4" t="s">
        <v>64</v>
      </c>
      <c r="T169" s="4">
        <f>[2]Arkusz1!AA172</f>
        <v>0</v>
      </c>
      <c r="U169" s="4" t="str">
        <f>IF([2]Arkusz1!O172=[2]Arkusz1!$O$7,"Z",IF([2]Arkusz1!O172=[2]Arkusz1!$O$15,"Ix3",IF([2]Arkusz1!O172=[2]Arkusz1!$O$20,"Ix1","Ix2")))</f>
        <v>Ix2</v>
      </c>
      <c r="V169" s="4">
        <f>[2]Arkusz1!AM172</f>
        <v>0</v>
      </c>
      <c r="W169" s="4">
        <f>[2]Arkusz1!AB173</f>
        <v>0</v>
      </c>
      <c r="X169" s="4" t="e">
        <f>_xlfn.TEXTBEFORE([2]Arkusz1!AC173," (")</f>
        <v>#N/A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I169" s="4" t="s">
        <v>546</v>
      </c>
      <c r="AJ169" s="4" t="s">
        <v>307</v>
      </c>
      <c r="AK169" s="4" t="s">
        <v>547</v>
      </c>
      <c r="AL169" s="4">
        <v>14210215037</v>
      </c>
      <c r="AM169" s="4">
        <v>0</v>
      </c>
      <c r="AN169" s="4">
        <v>0</v>
      </c>
      <c r="AP169" s="4">
        <f>[1]Hist!$X179</f>
        <v>0</v>
      </c>
    </row>
    <row r="170" spans="1:42" x14ac:dyDescent="0.2">
      <c r="A170" s="4">
        <v>169</v>
      </c>
      <c r="B170" s="215">
        <f>[2]Arkusz1!B173</f>
        <v>0</v>
      </c>
      <c r="C170" s="44" t="str">
        <f>_xlfn.CONCAT([2]Arkusz1!G173," ",[2]Arkusz1!H173)</f>
        <v xml:space="preserve"> </v>
      </c>
      <c r="D170" s="4" t="e">
        <f>_xlfn.XLOOKUP(H170,[4]Sheet1!$I$2:$I$40,[4]Sheet1!$Y$2:$Y$40,,2,1)</f>
        <v>#N/A</v>
      </c>
      <c r="E170" s="4" t="e">
        <f>_xlfn.XLOOKUP(H170,[4]Sheet1!$I$2:$I$40,[4]Sheet1!$K$2:$K$40,,2,1)</f>
        <v>#N/A</v>
      </c>
      <c r="F170" s="218" t="e">
        <f>_xlfn.XLOOKUP(H170,[4]Sheet1!$I$2:$I$40,[4]Sheet1!$J$2:$J$40,,2,1)</f>
        <v>#N/A</v>
      </c>
      <c r="G170" s="4">
        <f>[2]Arkusz1!E173</f>
        <v>0</v>
      </c>
      <c r="H170" s="4">
        <f>[2]Arkusz1!J173</f>
        <v>0</v>
      </c>
      <c r="I170" s="213" t="str">
        <f>_xlfn.CONCAT([2]Arkusz1!C173," ",[2]Arkusz1!D173)</f>
        <v xml:space="preserve"> </v>
      </c>
      <c r="J170" s="216">
        <f ca="1">IF(DATEDIF([2]Arkusz1!S173,TODAY(),"Y")&gt;21,0,DATEDIF([2]Arkusz1!S173,TODAY(),"Y"))</f>
        <v>0</v>
      </c>
      <c r="K170" s="4">
        <f>[2]Arkusz1!T173</f>
        <v>0</v>
      </c>
      <c r="L170" s="216">
        <f>[2]Arkusz1!U173</f>
        <v>0</v>
      </c>
      <c r="M170" s="4">
        <f>[2]Arkusz1!P173</f>
        <v>0</v>
      </c>
      <c r="N170" s="4">
        <f>[2]Arkusz1!Q173</f>
        <v>0</v>
      </c>
      <c r="O170" s="4">
        <f>[2]Arkusz1!V173</f>
        <v>0</v>
      </c>
      <c r="P170" s="4">
        <f t="shared" si="4"/>
        <v>176</v>
      </c>
      <c r="Q170" s="4">
        <f>[2]Arkusz1!Y173</f>
        <v>0</v>
      </c>
      <c r="R170" s="4" t="s">
        <v>64</v>
      </c>
      <c r="S170" s="4" t="s">
        <v>64</v>
      </c>
      <c r="T170" s="4">
        <f>[2]Arkusz1!AA173</f>
        <v>0</v>
      </c>
      <c r="U170" s="4" t="str">
        <f>IF([2]Arkusz1!O173=[2]Arkusz1!$O$7,"Z",IF([2]Arkusz1!O173=[2]Arkusz1!$O$15,"Ix3",IF([2]Arkusz1!O173=[2]Arkusz1!$O$20,"Ix1","Ix2")))</f>
        <v>Ix2</v>
      </c>
      <c r="V170" s="4">
        <f>[2]Arkusz1!AM173</f>
        <v>0</v>
      </c>
      <c r="W170" s="4">
        <f>[2]Arkusz1!AB174</f>
        <v>0</v>
      </c>
      <c r="X170" s="4" t="e">
        <f>_xlfn.TEXTBEFORE([2]Arkusz1!AC174," (")</f>
        <v>#N/A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I170" s="4" t="s">
        <v>546</v>
      </c>
      <c r="AJ170" s="4" t="s">
        <v>307</v>
      </c>
      <c r="AK170" s="4" t="s">
        <v>547</v>
      </c>
      <c r="AL170" s="4">
        <v>14210215037</v>
      </c>
      <c r="AM170" s="4">
        <v>0</v>
      </c>
      <c r="AN170" s="4">
        <v>0</v>
      </c>
      <c r="AP170" s="4">
        <f>[1]Hist!$X180</f>
        <v>0</v>
      </c>
    </row>
    <row r="171" spans="1:42" x14ac:dyDescent="0.2">
      <c r="A171" s="4">
        <v>170</v>
      </c>
      <c r="B171" s="215">
        <f>[2]Arkusz1!B174</f>
        <v>0</v>
      </c>
      <c r="C171" s="44" t="str">
        <f>_xlfn.CONCAT([2]Arkusz1!G174," ",[2]Arkusz1!H174)</f>
        <v xml:space="preserve"> </v>
      </c>
      <c r="D171" s="4" t="e">
        <f>_xlfn.XLOOKUP(H171,[4]Sheet1!$I$2:$I$40,[4]Sheet1!$Y$2:$Y$40,,2,1)</f>
        <v>#N/A</v>
      </c>
      <c r="E171" s="4" t="e">
        <f>_xlfn.XLOOKUP(H171,[4]Sheet1!$I$2:$I$40,[4]Sheet1!$K$2:$K$40,,2,1)</f>
        <v>#N/A</v>
      </c>
      <c r="F171" s="218" t="e">
        <f>_xlfn.XLOOKUP(H171,[4]Sheet1!$I$2:$I$40,[4]Sheet1!$J$2:$J$40,,2,1)</f>
        <v>#N/A</v>
      </c>
      <c r="G171" s="4">
        <f>[2]Arkusz1!E174</f>
        <v>0</v>
      </c>
      <c r="H171" s="4">
        <f>[2]Arkusz1!J174</f>
        <v>0</v>
      </c>
      <c r="I171" s="213" t="str">
        <f>_xlfn.CONCAT([2]Arkusz1!C174," ",[2]Arkusz1!D174)</f>
        <v xml:space="preserve"> </v>
      </c>
      <c r="J171" s="216">
        <f ca="1">IF(DATEDIF([2]Arkusz1!S174,TODAY(),"Y")&gt;21,0,DATEDIF([2]Arkusz1!S174,TODAY(),"Y"))</f>
        <v>0</v>
      </c>
      <c r="K171" s="4">
        <f>[2]Arkusz1!T174</f>
        <v>0</v>
      </c>
      <c r="L171" s="216">
        <f>[2]Arkusz1!U174</f>
        <v>0</v>
      </c>
      <c r="M171" s="4">
        <f>[2]Arkusz1!P174</f>
        <v>0</v>
      </c>
      <c r="N171" s="4">
        <f>[2]Arkusz1!Q174</f>
        <v>0</v>
      </c>
      <c r="O171" s="4">
        <f>[2]Arkusz1!V174</f>
        <v>0</v>
      </c>
      <c r="P171" s="4">
        <f t="shared" si="4"/>
        <v>176</v>
      </c>
      <c r="Q171" s="4">
        <f>[2]Arkusz1!Y174</f>
        <v>0</v>
      </c>
      <c r="R171" s="4" t="s">
        <v>64</v>
      </c>
      <c r="S171" s="4" t="s">
        <v>64</v>
      </c>
      <c r="T171" s="4">
        <f>[2]Arkusz1!AA174</f>
        <v>0</v>
      </c>
      <c r="U171" s="4" t="str">
        <f>IF([2]Arkusz1!O174=[2]Arkusz1!$O$7,"Z",IF([2]Arkusz1!O174=[2]Arkusz1!$O$15,"Ix3",IF([2]Arkusz1!O174=[2]Arkusz1!$O$20,"Ix1","Ix2")))</f>
        <v>Ix2</v>
      </c>
      <c r="V171" s="4">
        <f>[2]Arkusz1!AM174</f>
        <v>0</v>
      </c>
      <c r="W171" s="4">
        <f>[2]Arkusz1!AB175</f>
        <v>0</v>
      </c>
      <c r="X171" s="4" t="e">
        <f>_xlfn.TEXTBEFORE([2]Arkusz1!AC175," (")</f>
        <v>#N/A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I171" s="4" t="s">
        <v>546</v>
      </c>
      <c r="AJ171" s="4" t="s">
        <v>307</v>
      </c>
      <c r="AK171" s="4" t="s">
        <v>547</v>
      </c>
      <c r="AL171" s="4">
        <v>14210215037</v>
      </c>
      <c r="AM171" s="4">
        <v>0</v>
      </c>
      <c r="AN171" s="4">
        <v>0</v>
      </c>
      <c r="AP171" s="4">
        <f>[1]Hist!$X181</f>
        <v>0</v>
      </c>
    </row>
    <row r="172" spans="1:42" x14ac:dyDescent="0.2">
      <c r="A172" s="4">
        <v>171</v>
      </c>
      <c r="B172" s="215">
        <f>[2]Arkusz1!B175</f>
        <v>0</v>
      </c>
      <c r="C172" s="44" t="str">
        <f>_xlfn.CONCAT([2]Arkusz1!G175," ",[2]Arkusz1!H175)</f>
        <v xml:space="preserve"> </v>
      </c>
      <c r="D172" s="4" t="e">
        <f>_xlfn.XLOOKUP(H172,[4]Sheet1!$I$2:$I$40,[4]Sheet1!$Y$2:$Y$40,,2,1)</f>
        <v>#N/A</v>
      </c>
      <c r="E172" s="4" t="e">
        <f>_xlfn.XLOOKUP(H172,[4]Sheet1!$I$2:$I$40,[4]Sheet1!$K$2:$K$40,,2,1)</f>
        <v>#N/A</v>
      </c>
      <c r="F172" s="218" t="e">
        <f>_xlfn.XLOOKUP(H172,[4]Sheet1!$I$2:$I$40,[4]Sheet1!$J$2:$J$40,,2,1)</f>
        <v>#N/A</v>
      </c>
      <c r="G172" s="4">
        <f>[2]Arkusz1!E175</f>
        <v>0</v>
      </c>
      <c r="H172" s="4">
        <f>[2]Arkusz1!J175</f>
        <v>0</v>
      </c>
      <c r="I172" s="213" t="str">
        <f>_xlfn.CONCAT([2]Arkusz1!C175," ",[2]Arkusz1!D175)</f>
        <v xml:space="preserve"> </v>
      </c>
      <c r="J172" s="216">
        <f ca="1">IF(DATEDIF([2]Arkusz1!S175,TODAY(),"Y")&gt;21,0,DATEDIF([2]Arkusz1!S175,TODAY(),"Y"))</f>
        <v>0</v>
      </c>
      <c r="K172" s="4">
        <f>[2]Arkusz1!T175</f>
        <v>0</v>
      </c>
      <c r="L172" s="216">
        <f>[2]Arkusz1!U175</f>
        <v>0</v>
      </c>
      <c r="M172" s="4">
        <f>[2]Arkusz1!P175</f>
        <v>0</v>
      </c>
      <c r="N172" s="4">
        <f>[2]Arkusz1!Q175</f>
        <v>0</v>
      </c>
      <c r="O172" s="4">
        <f>[2]Arkusz1!V175</f>
        <v>0</v>
      </c>
      <c r="P172" s="4">
        <f t="shared" si="4"/>
        <v>176</v>
      </c>
      <c r="Q172" s="4">
        <f>[2]Arkusz1!Y175</f>
        <v>0</v>
      </c>
      <c r="R172" s="4" t="s">
        <v>64</v>
      </c>
      <c r="S172" s="4" t="s">
        <v>64</v>
      </c>
      <c r="T172" s="4">
        <f>[2]Arkusz1!AA175</f>
        <v>0</v>
      </c>
      <c r="U172" s="4" t="str">
        <f>IF([2]Arkusz1!O175=[2]Arkusz1!$O$7,"Z",IF([2]Arkusz1!O175=[2]Arkusz1!$O$15,"Ix3",IF([2]Arkusz1!O175=[2]Arkusz1!$O$20,"Ix1","Ix2")))</f>
        <v>Ix2</v>
      </c>
      <c r="V172" s="4">
        <f>[2]Arkusz1!AM175</f>
        <v>0</v>
      </c>
      <c r="W172" s="4">
        <f>[2]Arkusz1!AB176</f>
        <v>0</v>
      </c>
      <c r="X172" s="4" t="e">
        <f>_xlfn.TEXTBEFORE([2]Arkusz1!AC176," (")</f>
        <v>#N/A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I172" s="4" t="s">
        <v>546</v>
      </c>
      <c r="AJ172" s="4" t="s">
        <v>307</v>
      </c>
      <c r="AK172" s="4" t="s">
        <v>547</v>
      </c>
      <c r="AL172" s="4">
        <v>14210215037</v>
      </c>
      <c r="AM172" s="4">
        <v>0</v>
      </c>
      <c r="AN172" s="4">
        <v>0</v>
      </c>
      <c r="AP172" s="4">
        <f>[1]Hist!$X182</f>
        <v>0</v>
      </c>
    </row>
    <row r="173" spans="1:42" x14ac:dyDescent="0.2">
      <c r="A173" s="4">
        <v>172</v>
      </c>
      <c r="B173" s="215">
        <f>[2]Arkusz1!B176</f>
        <v>0</v>
      </c>
      <c r="C173" s="44" t="str">
        <f>_xlfn.CONCAT([2]Arkusz1!G176," ",[2]Arkusz1!H176)</f>
        <v xml:space="preserve"> </v>
      </c>
      <c r="D173" s="4" t="e">
        <f>_xlfn.XLOOKUP(H173,[4]Sheet1!$I$2:$I$40,[4]Sheet1!$Y$2:$Y$40,,2,1)</f>
        <v>#N/A</v>
      </c>
      <c r="E173" s="4" t="e">
        <f>_xlfn.XLOOKUP(H173,[4]Sheet1!$I$2:$I$40,[4]Sheet1!$K$2:$K$40,,2,1)</f>
        <v>#N/A</v>
      </c>
      <c r="F173" s="218" t="e">
        <f>_xlfn.XLOOKUP(H173,[4]Sheet1!$I$2:$I$40,[4]Sheet1!$J$2:$J$40,,2,1)</f>
        <v>#N/A</v>
      </c>
      <c r="G173" s="4">
        <f>[2]Arkusz1!E176</f>
        <v>0</v>
      </c>
      <c r="H173" s="4">
        <f>[2]Arkusz1!J176</f>
        <v>0</v>
      </c>
      <c r="I173" s="213" t="str">
        <f>_xlfn.CONCAT([2]Arkusz1!C176," ",[2]Arkusz1!D176)</f>
        <v xml:space="preserve"> </v>
      </c>
      <c r="J173" s="216">
        <f ca="1">IF(DATEDIF([2]Arkusz1!S176,TODAY(),"Y")&gt;21,0,DATEDIF([2]Arkusz1!S176,TODAY(),"Y"))</f>
        <v>0</v>
      </c>
      <c r="K173" s="4">
        <f>[2]Arkusz1!T176</f>
        <v>0</v>
      </c>
      <c r="L173" s="216">
        <f>[2]Arkusz1!U176</f>
        <v>0</v>
      </c>
      <c r="M173" s="4">
        <f>[2]Arkusz1!P176</f>
        <v>0</v>
      </c>
      <c r="N173" s="4">
        <f>[2]Arkusz1!Q176</f>
        <v>0</v>
      </c>
      <c r="O173" s="4">
        <f>[2]Arkusz1!V176</f>
        <v>0</v>
      </c>
      <c r="P173" s="4">
        <f t="shared" si="4"/>
        <v>176</v>
      </c>
      <c r="Q173" s="4">
        <f>[2]Arkusz1!Y176</f>
        <v>0</v>
      </c>
      <c r="R173" s="4" t="s">
        <v>64</v>
      </c>
      <c r="S173" s="4" t="s">
        <v>64</v>
      </c>
      <c r="T173" s="4">
        <f>[2]Arkusz1!AA176</f>
        <v>0</v>
      </c>
      <c r="U173" s="4" t="str">
        <f>IF([2]Arkusz1!O176=[2]Arkusz1!$O$7,"Z",IF([2]Arkusz1!O176=[2]Arkusz1!$O$15,"Ix3",IF([2]Arkusz1!O176=[2]Arkusz1!$O$20,"Ix1","Ix2")))</f>
        <v>Ix2</v>
      </c>
      <c r="V173" s="4">
        <f>[2]Arkusz1!AM176</f>
        <v>0</v>
      </c>
      <c r="W173" s="4">
        <f>[2]Arkusz1!AB177</f>
        <v>0</v>
      </c>
      <c r="X173" s="4" t="e">
        <f>_xlfn.TEXTBEFORE([2]Arkusz1!AC177," (")</f>
        <v>#N/A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I173" s="4" t="s">
        <v>546</v>
      </c>
      <c r="AJ173" s="4" t="s">
        <v>307</v>
      </c>
      <c r="AK173" s="4" t="s">
        <v>547</v>
      </c>
      <c r="AL173" s="4">
        <v>14210215037</v>
      </c>
      <c r="AM173" s="4">
        <v>0</v>
      </c>
      <c r="AN173" s="4">
        <v>0</v>
      </c>
      <c r="AP173" s="4">
        <f>[1]Hist!$X183</f>
        <v>0</v>
      </c>
    </row>
    <row r="174" spans="1:42" x14ac:dyDescent="0.2">
      <c r="A174" s="4">
        <v>173</v>
      </c>
      <c r="B174" s="215">
        <f>[2]Arkusz1!B177</f>
        <v>0</v>
      </c>
      <c r="C174" s="44" t="str">
        <f>_xlfn.CONCAT([2]Arkusz1!G177," ",[2]Arkusz1!H177)</f>
        <v xml:space="preserve"> </v>
      </c>
      <c r="D174" s="4" t="e">
        <f>_xlfn.XLOOKUP(H174,[4]Sheet1!$I$2:$I$40,[4]Sheet1!$Y$2:$Y$40,,2,1)</f>
        <v>#N/A</v>
      </c>
      <c r="E174" s="4" t="e">
        <f>_xlfn.XLOOKUP(H174,[4]Sheet1!$I$2:$I$40,[4]Sheet1!$K$2:$K$40,,2,1)</f>
        <v>#N/A</v>
      </c>
      <c r="F174" s="218" t="e">
        <f>_xlfn.XLOOKUP(H174,[4]Sheet1!$I$2:$I$40,[4]Sheet1!$J$2:$J$40,,2,1)</f>
        <v>#N/A</v>
      </c>
      <c r="G174" s="4">
        <f>[2]Arkusz1!E177</f>
        <v>0</v>
      </c>
      <c r="H174" s="4">
        <f>[2]Arkusz1!J177</f>
        <v>0</v>
      </c>
      <c r="I174" s="213" t="str">
        <f>_xlfn.CONCAT([2]Arkusz1!C177," ",[2]Arkusz1!D177)</f>
        <v xml:space="preserve"> </v>
      </c>
      <c r="J174" s="216">
        <f ca="1">IF(DATEDIF([2]Arkusz1!S177,TODAY(),"Y")&gt;21,0,DATEDIF([2]Arkusz1!S177,TODAY(),"Y"))</f>
        <v>0</v>
      </c>
      <c r="K174" s="4">
        <f>[2]Arkusz1!T177</f>
        <v>0</v>
      </c>
      <c r="L174" s="216">
        <f>[2]Arkusz1!U177</f>
        <v>0</v>
      </c>
      <c r="M174" s="4">
        <f>[2]Arkusz1!P177</f>
        <v>0</v>
      </c>
      <c r="N174" s="4">
        <f>[2]Arkusz1!Q177</f>
        <v>0</v>
      </c>
      <c r="O174" s="4">
        <f>[2]Arkusz1!V177</f>
        <v>0</v>
      </c>
      <c r="P174" s="4">
        <f t="shared" si="4"/>
        <v>176</v>
      </c>
      <c r="Q174" s="4">
        <f>[2]Arkusz1!Y177</f>
        <v>0</v>
      </c>
      <c r="R174" s="4" t="s">
        <v>64</v>
      </c>
      <c r="S174" s="4" t="s">
        <v>64</v>
      </c>
      <c r="T174" s="4">
        <f>[2]Arkusz1!AA177</f>
        <v>0</v>
      </c>
      <c r="U174" s="4" t="str">
        <f>IF([2]Arkusz1!O177=[2]Arkusz1!$O$7,"Z",IF([2]Arkusz1!O177=[2]Arkusz1!$O$15,"Ix3",IF([2]Arkusz1!O177=[2]Arkusz1!$O$20,"Ix1","Ix2")))</f>
        <v>Ix2</v>
      </c>
      <c r="V174" s="4">
        <f>[2]Arkusz1!AM177</f>
        <v>0</v>
      </c>
      <c r="W174" s="4">
        <f>[2]Arkusz1!AB178</f>
        <v>0</v>
      </c>
      <c r="X174" s="4" t="e">
        <f>_xlfn.TEXTBEFORE([2]Arkusz1!AC178," (")</f>
        <v>#N/A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I174" s="4" t="s">
        <v>546</v>
      </c>
      <c r="AJ174" s="4" t="s">
        <v>307</v>
      </c>
      <c r="AK174" s="4" t="s">
        <v>547</v>
      </c>
      <c r="AL174" s="4">
        <v>14210215037</v>
      </c>
      <c r="AM174" s="4">
        <v>0</v>
      </c>
      <c r="AN174" s="4">
        <v>0</v>
      </c>
      <c r="AP174" s="4">
        <f>[1]Hist!$X184</f>
        <v>0</v>
      </c>
    </row>
    <row r="175" spans="1:42" x14ac:dyDescent="0.2">
      <c r="A175" s="4">
        <v>174</v>
      </c>
      <c r="B175" s="215">
        <f>[2]Arkusz1!B178</f>
        <v>0</v>
      </c>
      <c r="C175" s="44" t="str">
        <f>_xlfn.CONCAT([2]Arkusz1!G178," ",[2]Arkusz1!H178)</f>
        <v xml:space="preserve"> </v>
      </c>
      <c r="D175" s="4" t="e">
        <f>_xlfn.XLOOKUP(H175,[4]Sheet1!$I$2:$I$40,[4]Sheet1!$Y$2:$Y$40,,2,1)</f>
        <v>#N/A</v>
      </c>
      <c r="E175" s="4" t="e">
        <f>_xlfn.XLOOKUP(H175,[4]Sheet1!$I$2:$I$40,[4]Sheet1!$K$2:$K$40,,2,1)</f>
        <v>#N/A</v>
      </c>
      <c r="F175" s="218" t="e">
        <f>_xlfn.XLOOKUP(H175,[4]Sheet1!$I$2:$I$40,[4]Sheet1!$J$2:$J$40,,2,1)</f>
        <v>#N/A</v>
      </c>
      <c r="G175" s="4">
        <f>[2]Arkusz1!E178</f>
        <v>0</v>
      </c>
      <c r="H175" s="4">
        <f>[2]Arkusz1!J178</f>
        <v>0</v>
      </c>
      <c r="I175" s="213" t="str">
        <f>_xlfn.CONCAT([2]Arkusz1!C178," ",[2]Arkusz1!D178)</f>
        <v xml:space="preserve"> </v>
      </c>
      <c r="J175" s="216">
        <f ca="1">IF(DATEDIF([2]Arkusz1!S178,TODAY(),"Y")&gt;21,0,DATEDIF([2]Arkusz1!S178,TODAY(),"Y"))</f>
        <v>0</v>
      </c>
      <c r="K175" s="4">
        <f>[2]Arkusz1!T178</f>
        <v>0</v>
      </c>
      <c r="L175" s="216">
        <f>[2]Arkusz1!U178</f>
        <v>0</v>
      </c>
      <c r="M175" s="4">
        <f>[2]Arkusz1!P178</f>
        <v>0</v>
      </c>
      <c r="N175" s="4">
        <f>[2]Arkusz1!Q178</f>
        <v>0</v>
      </c>
      <c r="O175" s="4">
        <f>[2]Arkusz1!V178</f>
        <v>0</v>
      </c>
      <c r="P175" s="4">
        <f t="shared" si="4"/>
        <v>176</v>
      </c>
      <c r="Q175" s="4">
        <f>[2]Arkusz1!Y178</f>
        <v>0</v>
      </c>
      <c r="R175" s="4" t="s">
        <v>64</v>
      </c>
      <c r="S175" s="4" t="s">
        <v>64</v>
      </c>
      <c r="T175" s="4">
        <f>[2]Arkusz1!AA178</f>
        <v>0</v>
      </c>
      <c r="U175" s="4" t="str">
        <f>IF([2]Arkusz1!O178=[2]Arkusz1!$O$7,"Z",IF([2]Arkusz1!O178=[2]Arkusz1!$O$15,"Ix3",IF([2]Arkusz1!O178=[2]Arkusz1!$O$20,"Ix1","Ix2")))</f>
        <v>Ix2</v>
      </c>
      <c r="V175" s="4">
        <f>[2]Arkusz1!AM178</f>
        <v>0</v>
      </c>
      <c r="W175" s="4">
        <f>[2]Arkusz1!AB179</f>
        <v>0</v>
      </c>
      <c r="X175" s="4" t="e">
        <f>_xlfn.TEXTBEFORE([2]Arkusz1!AC179," (")</f>
        <v>#N/A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I175" s="4" t="s">
        <v>546</v>
      </c>
      <c r="AJ175" s="4" t="e">
        <v>#N/A</v>
      </c>
      <c r="AK175" s="4" t="e">
        <v>#N/A</v>
      </c>
      <c r="AL175" s="4" t="e">
        <v>#N/A</v>
      </c>
      <c r="AM175" s="4">
        <v>0</v>
      </c>
      <c r="AN175" s="4">
        <v>0</v>
      </c>
      <c r="AP175" s="4">
        <f>[1]Hist!$X185</f>
        <v>0</v>
      </c>
    </row>
    <row r="176" spans="1:42" x14ac:dyDescent="0.2">
      <c r="A176" s="4">
        <v>175</v>
      </c>
      <c r="B176" s="215">
        <f>[2]Arkusz1!B179</f>
        <v>0</v>
      </c>
      <c r="C176" s="44" t="str">
        <f>_xlfn.CONCAT([2]Arkusz1!G179," ",[2]Arkusz1!H179)</f>
        <v xml:space="preserve"> </v>
      </c>
      <c r="D176" s="4" t="e">
        <f>_xlfn.XLOOKUP(H176,[4]Sheet1!$I$2:$I$40,[4]Sheet1!$Y$2:$Y$40,,2,1)</f>
        <v>#N/A</v>
      </c>
      <c r="E176" s="4" t="e">
        <f>_xlfn.XLOOKUP(H176,[4]Sheet1!$I$2:$I$40,[4]Sheet1!$K$2:$K$40,,2,1)</f>
        <v>#N/A</v>
      </c>
      <c r="F176" s="218" t="e">
        <f>_xlfn.XLOOKUP(H176,[4]Sheet1!$I$2:$I$40,[4]Sheet1!$J$2:$J$40,,2,1)</f>
        <v>#N/A</v>
      </c>
      <c r="G176" s="4">
        <f>[2]Arkusz1!E179</f>
        <v>0</v>
      </c>
      <c r="H176" s="4">
        <f>[2]Arkusz1!J179</f>
        <v>0</v>
      </c>
      <c r="I176" s="213" t="str">
        <f>_xlfn.CONCAT([2]Arkusz1!C179," ",[2]Arkusz1!D179)</f>
        <v xml:space="preserve"> </v>
      </c>
      <c r="J176" s="216">
        <f ca="1">IF(DATEDIF([2]Arkusz1!S179,TODAY(),"Y")&gt;21,0,DATEDIF([2]Arkusz1!S179,TODAY(),"Y"))</f>
        <v>0</v>
      </c>
      <c r="K176" s="4">
        <f>[2]Arkusz1!T179</f>
        <v>0</v>
      </c>
      <c r="L176" s="216">
        <f>[2]Arkusz1!U179</f>
        <v>0</v>
      </c>
      <c r="M176" s="4">
        <f>[2]Arkusz1!P179</f>
        <v>0</v>
      </c>
      <c r="N176" s="4">
        <f>[2]Arkusz1!Q179</f>
        <v>0</v>
      </c>
      <c r="O176" s="4">
        <f>[2]Arkusz1!V179</f>
        <v>0</v>
      </c>
      <c r="P176" s="4">
        <f t="shared" si="4"/>
        <v>176</v>
      </c>
      <c r="Q176" s="4">
        <f>[2]Arkusz1!Y179</f>
        <v>0</v>
      </c>
      <c r="R176" s="4" t="s">
        <v>64</v>
      </c>
      <c r="S176" s="4" t="s">
        <v>64</v>
      </c>
      <c r="T176" s="4">
        <f>[2]Arkusz1!AA179</f>
        <v>0</v>
      </c>
      <c r="U176" s="4" t="str">
        <f>IF([2]Arkusz1!O179=[2]Arkusz1!$O$7,"Z",IF([2]Arkusz1!O179=[2]Arkusz1!$O$15,"Ix3",IF([2]Arkusz1!O179=[2]Arkusz1!$O$20,"Ix1","Ix2")))</f>
        <v>Ix2</v>
      </c>
      <c r="V176" s="4">
        <f>[2]Arkusz1!AM179</f>
        <v>0</v>
      </c>
      <c r="W176" s="4">
        <f>[2]Arkusz1!AB180</f>
        <v>0</v>
      </c>
      <c r="X176" s="4" t="e">
        <f>_xlfn.TEXTBEFORE([2]Arkusz1!AC180," (")</f>
        <v>#N/A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I176" s="4" t="s">
        <v>546</v>
      </c>
      <c r="AJ176" s="4" t="e">
        <v>#N/A</v>
      </c>
      <c r="AK176" s="4" t="e">
        <v>#N/A</v>
      </c>
      <c r="AL176" s="4" t="e">
        <v>#N/A</v>
      </c>
      <c r="AM176" s="4">
        <v>0</v>
      </c>
      <c r="AN176" s="4">
        <v>0</v>
      </c>
      <c r="AP176" s="4">
        <f>[1]Hist!$X186</f>
        <v>0</v>
      </c>
    </row>
    <row r="177" spans="1:42" x14ac:dyDescent="0.2">
      <c r="A177" s="4">
        <v>176</v>
      </c>
      <c r="B177" s="215">
        <f>[2]Arkusz1!B180</f>
        <v>0</v>
      </c>
      <c r="C177" s="44" t="str">
        <f>_xlfn.CONCAT([2]Arkusz1!G180," ",[2]Arkusz1!H180)</f>
        <v xml:space="preserve"> </v>
      </c>
      <c r="D177" s="4" t="e">
        <f>_xlfn.XLOOKUP(H177,[4]Sheet1!$I$2:$I$40,[4]Sheet1!$Y$2:$Y$40,,2,1)</f>
        <v>#N/A</v>
      </c>
      <c r="E177" s="4" t="e">
        <f>_xlfn.XLOOKUP(H177,[4]Sheet1!$I$2:$I$40,[4]Sheet1!$K$2:$K$40,,2,1)</f>
        <v>#N/A</v>
      </c>
      <c r="F177" s="218" t="e">
        <f>_xlfn.XLOOKUP(H177,[4]Sheet1!$I$2:$I$40,[4]Sheet1!$J$2:$J$40,,2,1)</f>
        <v>#N/A</v>
      </c>
      <c r="G177" s="4">
        <f>[2]Arkusz1!E180</f>
        <v>0</v>
      </c>
      <c r="H177" s="4">
        <f>[2]Arkusz1!J180</f>
        <v>0</v>
      </c>
      <c r="I177" s="213" t="str">
        <f>_xlfn.CONCAT([2]Arkusz1!C180," ",[2]Arkusz1!D180)</f>
        <v xml:space="preserve"> </v>
      </c>
      <c r="J177" s="216">
        <f ca="1">IF(DATEDIF([2]Arkusz1!S180,TODAY(),"Y")&gt;21,0,DATEDIF([2]Arkusz1!S180,TODAY(),"Y"))</f>
        <v>0</v>
      </c>
      <c r="K177" s="4">
        <f>[2]Arkusz1!T180</f>
        <v>0</v>
      </c>
      <c r="L177" s="216">
        <f>[2]Arkusz1!U180</f>
        <v>0</v>
      </c>
      <c r="M177" s="4">
        <f>[2]Arkusz1!P180</f>
        <v>0</v>
      </c>
      <c r="N177" s="4">
        <f>[2]Arkusz1!Q180</f>
        <v>0</v>
      </c>
      <c r="O177" s="4">
        <f>[2]Arkusz1!V180</f>
        <v>0</v>
      </c>
      <c r="P177" s="4">
        <f t="shared" si="4"/>
        <v>176</v>
      </c>
      <c r="Q177" s="4">
        <f>[2]Arkusz1!Y180</f>
        <v>0</v>
      </c>
      <c r="R177" s="4" t="s">
        <v>64</v>
      </c>
      <c r="S177" s="4" t="s">
        <v>64</v>
      </c>
      <c r="T177" s="4">
        <f>[2]Arkusz1!AA180</f>
        <v>0</v>
      </c>
      <c r="U177" s="4" t="str">
        <f>IF([2]Arkusz1!O180=[2]Arkusz1!$O$7,"Z",IF([2]Arkusz1!O180=[2]Arkusz1!$O$15,"Ix3",IF([2]Arkusz1!O180=[2]Arkusz1!$O$20,"Ix1","Ix2")))</f>
        <v>Ix2</v>
      </c>
      <c r="V177" s="4">
        <f>[2]Arkusz1!AM180</f>
        <v>0</v>
      </c>
      <c r="W177" s="4">
        <f>[2]Arkusz1!AB181</f>
        <v>0</v>
      </c>
      <c r="X177" s="4" t="e">
        <f>_xlfn.TEXTBEFORE([2]Arkusz1!AC181," (")</f>
        <v>#N/A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I177" s="4" t="s">
        <v>546</v>
      </c>
      <c r="AJ177" s="4" t="e">
        <v>#N/A</v>
      </c>
      <c r="AK177" s="4" t="e">
        <v>#N/A</v>
      </c>
      <c r="AL177" s="4" t="e">
        <v>#N/A</v>
      </c>
      <c r="AM177" s="4">
        <v>0</v>
      </c>
      <c r="AN177" s="4">
        <v>0</v>
      </c>
      <c r="AP177" s="4">
        <f>[1]Hist!$X187</f>
        <v>0</v>
      </c>
    </row>
    <row r="178" spans="1:42" x14ac:dyDescent="0.2">
      <c r="A178" s="4">
        <v>177</v>
      </c>
      <c r="B178" s="215">
        <f>[2]Arkusz1!B181</f>
        <v>0</v>
      </c>
      <c r="C178" s="44" t="str">
        <f>_xlfn.CONCAT([2]Arkusz1!G181," ",[2]Arkusz1!H181)</f>
        <v xml:space="preserve"> </v>
      </c>
      <c r="D178" s="4" t="e">
        <f>_xlfn.XLOOKUP(H178,[4]Sheet1!$I$2:$I$40,[4]Sheet1!$Y$2:$Y$40,,2,1)</f>
        <v>#N/A</v>
      </c>
      <c r="E178" s="4" t="e">
        <f>_xlfn.XLOOKUP(H178,[4]Sheet1!$I$2:$I$40,[4]Sheet1!$K$2:$K$40,,2,1)</f>
        <v>#N/A</v>
      </c>
      <c r="F178" s="218" t="e">
        <f>_xlfn.XLOOKUP(H178,[4]Sheet1!$I$2:$I$40,[4]Sheet1!$J$2:$J$40,,2,1)</f>
        <v>#N/A</v>
      </c>
      <c r="G178" s="4">
        <f>[2]Arkusz1!E181</f>
        <v>0</v>
      </c>
      <c r="H178" s="4">
        <f>[2]Arkusz1!J181</f>
        <v>0</v>
      </c>
      <c r="I178" s="213" t="str">
        <f>_xlfn.CONCAT([2]Arkusz1!C181," ",[2]Arkusz1!D181)</f>
        <v xml:space="preserve"> </v>
      </c>
      <c r="J178" s="216">
        <f ca="1">IF(DATEDIF([2]Arkusz1!S181,TODAY(),"Y")&gt;21,0,DATEDIF([2]Arkusz1!S181,TODAY(),"Y"))</f>
        <v>0</v>
      </c>
      <c r="K178" s="4">
        <f>[2]Arkusz1!T181</f>
        <v>0</v>
      </c>
      <c r="L178" s="216">
        <f>[2]Arkusz1!U181</f>
        <v>0</v>
      </c>
      <c r="M178" s="4">
        <f>[2]Arkusz1!P181</f>
        <v>0</v>
      </c>
      <c r="N178" s="4">
        <f>[2]Arkusz1!Q181</f>
        <v>0</v>
      </c>
      <c r="O178" s="4">
        <f>[2]Arkusz1!V181</f>
        <v>0</v>
      </c>
      <c r="P178" s="4">
        <f t="shared" si="4"/>
        <v>176</v>
      </c>
      <c r="Q178" s="4">
        <f>[2]Arkusz1!Y181</f>
        <v>0</v>
      </c>
      <c r="R178" s="4" t="s">
        <v>64</v>
      </c>
      <c r="S178" s="4" t="s">
        <v>64</v>
      </c>
      <c r="T178" s="4">
        <f>[2]Arkusz1!AA181</f>
        <v>0</v>
      </c>
      <c r="U178" s="4" t="str">
        <f>IF([2]Arkusz1!O181=[2]Arkusz1!$O$7,"Z",IF([2]Arkusz1!O181=[2]Arkusz1!$O$15,"Ix3",IF([2]Arkusz1!O181=[2]Arkusz1!$O$20,"Ix1","Ix2")))</f>
        <v>Ix2</v>
      </c>
      <c r="V178" s="4">
        <f>[2]Arkusz1!AM181</f>
        <v>0</v>
      </c>
      <c r="W178" s="4">
        <f>[2]Arkusz1!AB182</f>
        <v>0</v>
      </c>
      <c r="X178" s="4" t="e">
        <f>_xlfn.TEXTBEFORE([2]Arkusz1!AC182," (")</f>
        <v>#N/A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I178" s="4" t="s">
        <v>546</v>
      </c>
      <c r="AJ178" s="4" t="e">
        <v>#N/A</v>
      </c>
      <c r="AK178" s="4" t="e">
        <v>#N/A</v>
      </c>
      <c r="AL178" s="4" t="e">
        <v>#N/A</v>
      </c>
      <c r="AM178" s="4">
        <v>0</v>
      </c>
      <c r="AN178" s="4">
        <v>0</v>
      </c>
      <c r="AP178" s="4">
        <f>[1]Hist!$X188</f>
        <v>0</v>
      </c>
    </row>
    <row r="179" spans="1:42" x14ac:dyDescent="0.2">
      <c r="A179" s="4">
        <v>178</v>
      </c>
      <c r="B179" s="215">
        <f>[2]Arkusz1!B182</f>
        <v>0</v>
      </c>
      <c r="C179" s="44" t="str">
        <f>_xlfn.CONCAT([2]Arkusz1!G182," ",[2]Arkusz1!H182)</f>
        <v xml:space="preserve"> </v>
      </c>
      <c r="D179" s="4" t="e">
        <f>_xlfn.XLOOKUP(H179,[4]Sheet1!$I$2:$I$40,[4]Sheet1!$Y$2:$Y$40,,2,1)</f>
        <v>#N/A</v>
      </c>
      <c r="E179" s="4" t="e">
        <f>_xlfn.XLOOKUP(H179,[4]Sheet1!$I$2:$I$40,[4]Sheet1!$K$2:$K$40,,2,1)</f>
        <v>#N/A</v>
      </c>
      <c r="F179" s="218" t="e">
        <f>_xlfn.XLOOKUP(H179,[4]Sheet1!$I$2:$I$40,[4]Sheet1!$J$2:$J$40,,2,1)</f>
        <v>#N/A</v>
      </c>
      <c r="G179" s="4">
        <f>[2]Arkusz1!E182</f>
        <v>0</v>
      </c>
      <c r="H179" s="4">
        <f>[2]Arkusz1!J182</f>
        <v>0</v>
      </c>
      <c r="I179" s="213" t="str">
        <f>_xlfn.CONCAT([2]Arkusz1!C182," ",[2]Arkusz1!D182)</f>
        <v xml:space="preserve"> </v>
      </c>
      <c r="J179" s="216">
        <f ca="1">IF(DATEDIF([2]Arkusz1!S182,TODAY(),"Y")&gt;21,0,DATEDIF([2]Arkusz1!S182,TODAY(),"Y"))</f>
        <v>0</v>
      </c>
      <c r="K179" s="4">
        <f>[2]Arkusz1!T182</f>
        <v>0</v>
      </c>
      <c r="L179" s="216">
        <f>[2]Arkusz1!U182</f>
        <v>0</v>
      </c>
      <c r="M179" s="4">
        <f>[2]Arkusz1!P182</f>
        <v>0</v>
      </c>
      <c r="N179" s="4">
        <f>[2]Arkusz1!Q182</f>
        <v>0</v>
      </c>
      <c r="O179" s="4">
        <f>[2]Arkusz1!V182</f>
        <v>0</v>
      </c>
      <c r="P179" s="4">
        <f t="shared" si="4"/>
        <v>176</v>
      </c>
      <c r="Q179" s="4">
        <f>[2]Arkusz1!Y182</f>
        <v>0</v>
      </c>
      <c r="R179" s="4" t="s">
        <v>64</v>
      </c>
      <c r="S179" s="4" t="s">
        <v>64</v>
      </c>
      <c r="T179" s="4">
        <f>[2]Arkusz1!AA182</f>
        <v>0</v>
      </c>
      <c r="U179" s="4" t="str">
        <f>IF([2]Arkusz1!O182=[2]Arkusz1!$O$7,"Z",IF([2]Arkusz1!O182=[2]Arkusz1!$O$15,"Ix3",IF([2]Arkusz1!O182=[2]Arkusz1!$O$20,"Ix1","Ix2")))</f>
        <v>Ix2</v>
      </c>
      <c r="V179" s="4">
        <f>[2]Arkusz1!AM182</f>
        <v>0</v>
      </c>
      <c r="W179" s="4">
        <f>[2]Arkusz1!AB183</f>
        <v>0</v>
      </c>
      <c r="X179" s="4" t="e">
        <f>_xlfn.TEXTBEFORE([2]Arkusz1!AC183," (")</f>
        <v>#N/A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I179" s="4" t="s">
        <v>546</v>
      </c>
      <c r="AJ179" s="4" t="e">
        <v>#N/A</v>
      </c>
      <c r="AK179" s="4" t="e">
        <v>#N/A</v>
      </c>
      <c r="AL179" s="4" t="e">
        <v>#N/A</v>
      </c>
      <c r="AM179" s="4">
        <v>0</v>
      </c>
      <c r="AN179" s="4">
        <v>0</v>
      </c>
      <c r="AP179" s="4">
        <f>[1]Hist!$X189</f>
        <v>0</v>
      </c>
    </row>
    <row r="180" spans="1:42" x14ac:dyDescent="0.2">
      <c r="A180" s="4">
        <v>179</v>
      </c>
      <c r="B180" s="215">
        <f>[2]Arkusz1!B183</f>
        <v>0</v>
      </c>
      <c r="C180" s="44" t="str">
        <f>_xlfn.CONCAT([2]Arkusz1!G183," ",[2]Arkusz1!H183)</f>
        <v xml:space="preserve"> </v>
      </c>
      <c r="D180" s="4" t="e">
        <f>_xlfn.XLOOKUP(H180,[4]Sheet1!$I$2:$I$40,[4]Sheet1!$Y$2:$Y$40,,2,1)</f>
        <v>#N/A</v>
      </c>
      <c r="E180" s="4" t="e">
        <f>_xlfn.XLOOKUP(H180,[4]Sheet1!$I$2:$I$40,[4]Sheet1!$K$2:$K$40,,2,1)</f>
        <v>#N/A</v>
      </c>
      <c r="F180" s="218" t="e">
        <f>_xlfn.XLOOKUP(H180,[4]Sheet1!$I$2:$I$40,[4]Sheet1!$J$2:$J$40,,2,1)</f>
        <v>#N/A</v>
      </c>
      <c r="G180" s="4">
        <f>[2]Arkusz1!E183</f>
        <v>0</v>
      </c>
      <c r="H180" s="4">
        <f>[2]Arkusz1!J183</f>
        <v>0</v>
      </c>
      <c r="I180" s="213" t="str">
        <f>_xlfn.CONCAT([2]Arkusz1!C183," ",[2]Arkusz1!D183)</f>
        <v xml:space="preserve"> </v>
      </c>
      <c r="J180" s="216">
        <f ca="1">IF(DATEDIF([2]Arkusz1!S183,TODAY(),"Y")&gt;21,0,DATEDIF([2]Arkusz1!S183,TODAY(),"Y"))</f>
        <v>0</v>
      </c>
      <c r="K180" s="4">
        <f>[2]Arkusz1!T183</f>
        <v>0</v>
      </c>
      <c r="L180" s="216">
        <f>[2]Arkusz1!U183</f>
        <v>0</v>
      </c>
      <c r="M180" s="4">
        <f>[2]Arkusz1!P183</f>
        <v>0</v>
      </c>
      <c r="N180" s="4">
        <f>[2]Arkusz1!Q183</f>
        <v>0</v>
      </c>
      <c r="O180" s="4">
        <f>[2]Arkusz1!V183</f>
        <v>0</v>
      </c>
      <c r="P180" s="4">
        <f t="shared" si="4"/>
        <v>176</v>
      </c>
      <c r="Q180" s="4">
        <f>[2]Arkusz1!Y183</f>
        <v>0</v>
      </c>
      <c r="R180" s="4" t="s">
        <v>64</v>
      </c>
      <c r="S180" s="4" t="s">
        <v>64</v>
      </c>
      <c r="T180" s="4">
        <f>[2]Arkusz1!AA183</f>
        <v>0</v>
      </c>
      <c r="U180" s="4" t="str">
        <f>IF([2]Arkusz1!O183=[2]Arkusz1!$O$7,"Z",IF([2]Arkusz1!O183=[2]Arkusz1!$O$15,"Ix3",IF([2]Arkusz1!O183=[2]Arkusz1!$O$20,"Ix1","Ix2")))</f>
        <v>Ix2</v>
      </c>
      <c r="V180" s="4">
        <f>[2]Arkusz1!AM183</f>
        <v>0</v>
      </c>
      <c r="W180" s="4">
        <f>[2]Arkusz1!AB184</f>
        <v>0</v>
      </c>
      <c r="X180" s="4" t="e">
        <f>_xlfn.TEXTBEFORE([2]Arkusz1!AC184," (")</f>
        <v>#N/A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I180" s="4" t="s">
        <v>546</v>
      </c>
      <c r="AJ180" s="4" t="e">
        <v>#N/A</v>
      </c>
      <c r="AK180" s="4" t="e">
        <v>#N/A</v>
      </c>
      <c r="AL180" s="4" t="e">
        <v>#N/A</v>
      </c>
      <c r="AM180" s="4">
        <v>0</v>
      </c>
      <c r="AN180" s="4">
        <v>0</v>
      </c>
      <c r="AP180" s="4">
        <f>[1]Hist!$X190</f>
        <v>0</v>
      </c>
    </row>
    <row r="181" spans="1:42" x14ac:dyDescent="0.2">
      <c r="A181" s="4">
        <v>180</v>
      </c>
      <c r="B181" s="215">
        <f>[2]Arkusz1!B184</f>
        <v>0</v>
      </c>
      <c r="C181" s="44" t="str">
        <f>_xlfn.CONCAT([2]Arkusz1!G184," ",[2]Arkusz1!H184)</f>
        <v xml:space="preserve"> </v>
      </c>
      <c r="D181" s="4" t="e">
        <f>_xlfn.XLOOKUP(H181,[4]Sheet1!$I$2:$I$40,[4]Sheet1!$Y$2:$Y$40,,2,1)</f>
        <v>#N/A</v>
      </c>
      <c r="E181" s="4" t="e">
        <f>_xlfn.XLOOKUP(H181,[4]Sheet1!$I$2:$I$40,[4]Sheet1!$K$2:$K$40,,2,1)</f>
        <v>#N/A</v>
      </c>
      <c r="F181" s="218" t="e">
        <f>_xlfn.XLOOKUP(H181,[4]Sheet1!$I$2:$I$40,[4]Sheet1!$J$2:$J$40,,2,1)</f>
        <v>#N/A</v>
      </c>
      <c r="G181" s="4">
        <f>[2]Arkusz1!E184</f>
        <v>0</v>
      </c>
      <c r="H181" s="4">
        <f>[2]Arkusz1!J184</f>
        <v>0</v>
      </c>
      <c r="I181" s="213" t="str">
        <f>_xlfn.CONCAT([2]Arkusz1!C184," ",[2]Arkusz1!D184)</f>
        <v xml:space="preserve"> </v>
      </c>
      <c r="J181" s="216">
        <f ca="1">IF(DATEDIF([2]Arkusz1!S184,TODAY(),"Y")&gt;21,0,DATEDIF([2]Arkusz1!S184,TODAY(),"Y"))</f>
        <v>0</v>
      </c>
      <c r="K181" s="4">
        <f>[2]Arkusz1!T184</f>
        <v>0</v>
      </c>
      <c r="L181" s="216">
        <f>[2]Arkusz1!U184</f>
        <v>0</v>
      </c>
      <c r="M181" s="4">
        <f>[2]Arkusz1!P184</f>
        <v>0</v>
      </c>
      <c r="N181" s="4">
        <f>[2]Arkusz1!Q184</f>
        <v>0</v>
      </c>
      <c r="O181" s="4">
        <f>[2]Arkusz1!V184</f>
        <v>0</v>
      </c>
      <c r="P181" s="4">
        <f t="shared" si="4"/>
        <v>176</v>
      </c>
      <c r="Q181" s="4">
        <f>[2]Arkusz1!Y184</f>
        <v>0</v>
      </c>
      <c r="R181" s="4" t="s">
        <v>64</v>
      </c>
      <c r="S181" s="4" t="s">
        <v>64</v>
      </c>
      <c r="T181" s="4">
        <f>[2]Arkusz1!AA184</f>
        <v>0</v>
      </c>
      <c r="U181" s="4" t="str">
        <f>IF([2]Arkusz1!O184=[2]Arkusz1!$O$7,"Z",IF([2]Arkusz1!O184=[2]Arkusz1!$O$15,"Ix3",IF([2]Arkusz1!O184=[2]Arkusz1!$O$20,"Ix1","Ix2")))</f>
        <v>Ix2</v>
      </c>
      <c r="V181" s="4">
        <f>[2]Arkusz1!AM184</f>
        <v>0</v>
      </c>
      <c r="W181" s="4">
        <f>[2]Arkusz1!AB185</f>
        <v>0</v>
      </c>
      <c r="X181" s="4" t="e">
        <f>_xlfn.TEXTBEFORE([2]Arkusz1!AC185," (")</f>
        <v>#N/A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I181" s="4" t="s">
        <v>546</v>
      </c>
      <c r="AJ181" s="4" t="e">
        <v>#N/A</v>
      </c>
      <c r="AK181" s="4" t="e">
        <v>#N/A</v>
      </c>
      <c r="AL181" s="4" t="e">
        <v>#N/A</v>
      </c>
      <c r="AM181" s="4">
        <v>0</v>
      </c>
      <c r="AN181" s="4">
        <v>0</v>
      </c>
      <c r="AP181" s="4">
        <f>[1]Hist!$X191</f>
        <v>0</v>
      </c>
    </row>
    <row r="182" spans="1:42" x14ac:dyDescent="0.2">
      <c r="A182" s="4">
        <v>181</v>
      </c>
      <c r="B182" s="215">
        <f>[2]Arkusz1!B185</f>
        <v>0</v>
      </c>
      <c r="C182" s="44" t="str">
        <f>_xlfn.CONCAT([2]Arkusz1!G185," ",[2]Arkusz1!H185)</f>
        <v xml:space="preserve"> </v>
      </c>
      <c r="D182" s="4" t="e">
        <f>_xlfn.XLOOKUP(H182,[4]Sheet1!$I$2:$I$40,[4]Sheet1!$Y$2:$Y$40,,2,1)</f>
        <v>#N/A</v>
      </c>
      <c r="E182" s="4" t="e">
        <f>_xlfn.XLOOKUP(H182,[4]Sheet1!$I$2:$I$40,[4]Sheet1!$K$2:$K$40,,2,1)</f>
        <v>#N/A</v>
      </c>
      <c r="F182" s="218" t="e">
        <f>_xlfn.XLOOKUP(H182,[4]Sheet1!$I$2:$I$40,[4]Sheet1!$J$2:$J$40,,2,1)</f>
        <v>#N/A</v>
      </c>
      <c r="G182" s="4">
        <f>[2]Arkusz1!E185</f>
        <v>0</v>
      </c>
      <c r="H182" s="4">
        <f>[2]Arkusz1!J185</f>
        <v>0</v>
      </c>
      <c r="I182" s="213" t="str">
        <f>_xlfn.CONCAT([2]Arkusz1!C185," ",[2]Arkusz1!D185)</f>
        <v xml:space="preserve"> </v>
      </c>
      <c r="J182" s="216">
        <f ca="1">IF(DATEDIF([2]Arkusz1!S185,TODAY(),"Y")&gt;21,0,DATEDIF([2]Arkusz1!S185,TODAY(),"Y"))</f>
        <v>0</v>
      </c>
      <c r="K182" s="4">
        <f>[2]Arkusz1!T185</f>
        <v>0</v>
      </c>
      <c r="L182" s="216">
        <f>[2]Arkusz1!U185</f>
        <v>0</v>
      </c>
      <c r="M182" s="4">
        <f>[2]Arkusz1!P185</f>
        <v>0</v>
      </c>
      <c r="N182" s="4">
        <f>[2]Arkusz1!Q185</f>
        <v>0</v>
      </c>
      <c r="O182" s="4">
        <f>[2]Arkusz1!V185</f>
        <v>0</v>
      </c>
      <c r="P182" s="4">
        <f t="shared" si="4"/>
        <v>176</v>
      </c>
      <c r="Q182" s="4">
        <f>[2]Arkusz1!Y185</f>
        <v>0</v>
      </c>
      <c r="R182" s="4" t="s">
        <v>64</v>
      </c>
      <c r="S182" s="4" t="s">
        <v>64</v>
      </c>
      <c r="T182" s="4">
        <f>[2]Arkusz1!AA185</f>
        <v>0</v>
      </c>
      <c r="U182" s="4" t="str">
        <f>IF([2]Arkusz1!O185=[2]Arkusz1!$O$7,"Z",IF([2]Arkusz1!O185=[2]Arkusz1!$O$15,"Ix3",IF([2]Arkusz1!O185=[2]Arkusz1!$O$20,"Ix1","Ix2")))</f>
        <v>Ix2</v>
      </c>
      <c r="V182" s="4">
        <f>[2]Arkusz1!AM185</f>
        <v>0</v>
      </c>
      <c r="W182" s="4">
        <f>[2]Arkusz1!AB186</f>
        <v>0</v>
      </c>
      <c r="X182" s="4" t="e">
        <f>_xlfn.TEXTBEFORE([2]Arkusz1!AC186," (")</f>
        <v>#N/A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I182" s="4" t="s">
        <v>546</v>
      </c>
      <c r="AJ182" s="4" t="e">
        <v>#N/A</v>
      </c>
      <c r="AK182" s="4" t="e">
        <v>#N/A</v>
      </c>
      <c r="AL182" s="4" t="e">
        <v>#N/A</v>
      </c>
      <c r="AM182" s="4">
        <v>0</v>
      </c>
      <c r="AN182" s="4">
        <v>0</v>
      </c>
      <c r="AP182" s="4">
        <f>[1]Hist!$X192</f>
        <v>0</v>
      </c>
    </row>
    <row r="183" spans="1:42" x14ac:dyDescent="0.2">
      <c r="A183" s="4">
        <v>182</v>
      </c>
      <c r="B183" s="215">
        <f>[2]Arkusz1!B186</f>
        <v>0</v>
      </c>
      <c r="C183" s="44" t="str">
        <f>_xlfn.CONCAT([2]Arkusz1!G186," ",[2]Arkusz1!H186)</f>
        <v xml:space="preserve"> </v>
      </c>
      <c r="D183" s="4" t="e">
        <f>_xlfn.XLOOKUP(H183,[4]Sheet1!$I$2:$I$40,[4]Sheet1!$Y$2:$Y$40,,2,1)</f>
        <v>#N/A</v>
      </c>
      <c r="E183" s="4" t="e">
        <f>_xlfn.XLOOKUP(H183,[4]Sheet1!$I$2:$I$40,[4]Sheet1!$K$2:$K$40,,2,1)</f>
        <v>#N/A</v>
      </c>
      <c r="F183" s="218" t="e">
        <f>_xlfn.XLOOKUP(H183,[4]Sheet1!$I$2:$I$40,[4]Sheet1!$J$2:$J$40,,2,1)</f>
        <v>#N/A</v>
      </c>
      <c r="G183" s="4">
        <f>[2]Arkusz1!E186</f>
        <v>0</v>
      </c>
      <c r="H183" s="4">
        <f>[2]Arkusz1!J186</f>
        <v>0</v>
      </c>
      <c r="I183" s="213" t="str">
        <f>_xlfn.CONCAT([2]Arkusz1!C186," ",[2]Arkusz1!D186)</f>
        <v xml:space="preserve"> </v>
      </c>
      <c r="J183" s="216">
        <f ca="1">IF(DATEDIF([2]Arkusz1!S186,TODAY(),"Y")&gt;21,0,DATEDIF([2]Arkusz1!S186,TODAY(),"Y"))</f>
        <v>0</v>
      </c>
      <c r="K183" s="4">
        <f>[2]Arkusz1!T186</f>
        <v>0</v>
      </c>
      <c r="L183" s="216">
        <f>[2]Arkusz1!U186</f>
        <v>0</v>
      </c>
      <c r="M183" s="4">
        <f>[2]Arkusz1!P186</f>
        <v>0</v>
      </c>
      <c r="N183" s="4">
        <f>[2]Arkusz1!Q186</f>
        <v>0</v>
      </c>
      <c r="O183" s="4">
        <f>[2]Arkusz1!V186</f>
        <v>0</v>
      </c>
      <c r="P183" s="4">
        <f t="shared" si="4"/>
        <v>176</v>
      </c>
      <c r="Q183" s="4">
        <f>[2]Arkusz1!Y186</f>
        <v>0</v>
      </c>
      <c r="R183" s="4" t="s">
        <v>64</v>
      </c>
      <c r="S183" s="4" t="s">
        <v>64</v>
      </c>
      <c r="T183" s="4">
        <f>[2]Arkusz1!AA186</f>
        <v>0</v>
      </c>
      <c r="U183" s="4" t="str">
        <f>IF([2]Arkusz1!O186=[2]Arkusz1!$O$7,"Z",IF([2]Arkusz1!O186=[2]Arkusz1!$O$15,"Ix3",IF([2]Arkusz1!O186=[2]Arkusz1!$O$20,"Ix1","Ix2")))</f>
        <v>Ix2</v>
      </c>
      <c r="V183" s="4">
        <f>[2]Arkusz1!AM186</f>
        <v>0</v>
      </c>
      <c r="W183" s="4">
        <f>[2]Arkusz1!AB187</f>
        <v>0</v>
      </c>
      <c r="X183" s="4" t="e">
        <f>_xlfn.TEXTBEFORE([2]Arkusz1!AC187," (")</f>
        <v>#N/A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I183" s="4" t="s">
        <v>546</v>
      </c>
      <c r="AJ183" s="4" t="e">
        <v>#N/A</v>
      </c>
      <c r="AK183" s="4" t="e">
        <v>#N/A</v>
      </c>
      <c r="AL183" s="4" t="e">
        <v>#N/A</v>
      </c>
      <c r="AM183" s="4">
        <v>0</v>
      </c>
      <c r="AN183" s="4">
        <v>0</v>
      </c>
      <c r="AP183" s="4">
        <f>[1]Hist!$X193</f>
        <v>0</v>
      </c>
    </row>
    <row r="184" spans="1:42" x14ac:dyDescent="0.2">
      <c r="A184" s="4">
        <v>183</v>
      </c>
      <c r="B184" s="215">
        <f>[2]Arkusz1!B187</f>
        <v>0</v>
      </c>
      <c r="C184" s="44" t="str">
        <f>_xlfn.CONCAT([2]Arkusz1!G187," ",[2]Arkusz1!H187)</f>
        <v xml:space="preserve"> </v>
      </c>
      <c r="D184" s="4" t="e">
        <f>_xlfn.XLOOKUP(H184,[4]Sheet1!$I$2:$I$40,[4]Sheet1!$Y$2:$Y$40,,2,1)</f>
        <v>#N/A</v>
      </c>
      <c r="E184" s="4" t="e">
        <f>_xlfn.XLOOKUP(H184,[4]Sheet1!$I$2:$I$40,[4]Sheet1!$K$2:$K$40,,2,1)</f>
        <v>#N/A</v>
      </c>
      <c r="F184" s="218" t="e">
        <f>_xlfn.XLOOKUP(H184,[4]Sheet1!$I$2:$I$40,[4]Sheet1!$J$2:$J$40,,2,1)</f>
        <v>#N/A</v>
      </c>
      <c r="G184" s="4">
        <f>[2]Arkusz1!E187</f>
        <v>0</v>
      </c>
      <c r="H184" s="4">
        <f>[2]Arkusz1!J187</f>
        <v>0</v>
      </c>
      <c r="I184" s="213" t="str">
        <f>_xlfn.CONCAT([2]Arkusz1!C187," ",[2]Arkusz1!D187)</f>
        <v xml:space="preserve"> </v>
      </c>
      <c r="J184" s="216">
        <f ca="1">IF(DATEDIF([2]Arkusz1!S187,TODAY(),"Y")&gt;21,0,DATEDIF([2]Arkusz1!S187,TODAY(),"Y"))</f>
        <v>0</v>
      </c>
      <c r="K184" s="4">
        <f>[2]Arkusz1!T187</f>
        <v>0</v>
      </c>
      <c r="L184" s="216">
        <f>[2]Arkusz1!U187</f>
        <v>0</v>
      </c>
      <c r="M184" s="4">
        <f>[2]Arkusz1!P187</f>
        <v>0</v>
      </c>
      <c r="N184" s="4">
        <f>[2]Arkusz1!Q187</f>
        <v>0</v>
      </c>
      <c r="O184" s="4">
        <f>[2]Arkusz1!V187</f>
        <v>0</v>
      </c>
      <c r="P184" s="4">
        <f t="shared" si="4"/>
        <v>176</v>
      </c>
      <c r="Q184" s="4">
        <f>[2]Arkusz1!Y187</f>
        <v>0</v>
      </c>
      <c r="R184" s="4" t="s">
        <v>64</v>
      </c>
      <c r="S184" s="4" t="s">
        <v>64</v>
      </c>
      <c r="T184" s="4">
        <f>[2]Arkusz1!AA187</f>
        <v>0</v>
      </c>
      <c r="U184" s="4" t="str">
        <f>IF([2]Arkusz1!O187=[2]Arkusz1!$O$7,"Z",IF([2]Arkusz1!O187=[2]Arkusz1!$O$15,"Ix3",IF([2]Arkusz1!O187=[2]Arkusz1!$O$20,"Ix1","Ix2")))</f>
        <v>Ix2</v>
      </c>
      <c r="V184" s="4">
        <f>[2]Arkusz1!AM187</f>
        <v>0</v>
      </c>
      <c r="W184" s="4">
        <f>[2]Arkusz1!AB188</f>
        <v>0</v>
      </c>
      <c r="X184" s="4" t="e">
        <f>_xlfn.TEXTBEFORE([2]Arkusz1!AC188," (")</f>
        <v>#N/A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I184" s="4" t="s">
        <v>546</v>
      </c>
      <c r="AJ184" s="4" t="e">
        <v>#N/A</v>
      </c>
      <c r="AK184" s="4" t="e">
        <v>#N/A</v>
      </c>
      <c r="AL184" s="4" t="e">
        <v>#N/A</v>
      </c>
      <c r="AM184" s="4">
        <v>0</v>
      </c>
      <c r="AN184" s="4">
        <v>0</v>
      </c>
      <c r="AP184" s="4">
        <f>[1]Hist!$X194</f>
        <v>0</v>
      </c>
    </row>
    <row r="185" spans="1:42" x14ac:dyDescent="0.2">
      <c r="A185" s="4">
        <v>184</v>
      </c>
      <c r="B185" s="215">
        <f>[2]Arkusz1!B188</f>
        <v>0</v>
      </c>
      <c r="C185" s="44" t="str">
        <f>_xlfn.CONCAT([2]Arkusz1!G188," ",[2]Arkusz1!H188)</f>
        <v xml:space="preserve"> </v>
      </c>
      <c r="D185" s="4" t="e">
        <f>_xlfn.XLOOKUP(H185,[4]Sheet1!$I$2:$I$40,[4]Sheet1!$Y$2:$Y$40,,2,1)</f>
        <v>#N/A</v>
      </c>
      <c r="E185" s="4" t="e">
        <f>_xlfn.XLOOKUP(H185,[4]Sheet1!$I$2:$I$40,[4]Sheet1!$K$2:$K$40,,2,1)</f>
        <v>#N/A</v>
      </c>
      <c r="F185" s="218" t="e">
        <f>_xlfn.XLOOKUP(H185,[4]Sheet1!$I$2:$I$40,[4]Sheet1!$J$2:$J$40,,2,1)</f>
        <v>#N/A</v>
      </c>
      <c r="G185" s="4">
        <f>[2]Arkusz1!E188</f>
        <v>0</v>
      </c>
      <c r="H185" s="4">
        <f>[2]Arkusz1!J188</f>
        <v>0</v>
      </c>
      <c r="I185" s="213" t="str">
        <f>_xlfn.CONCAT([2]Arkusz1!C188," ",[2]Arkusz1!D188)</f>
        <v xml:space="preserve"> </v>
      </c>
      <c r="J185" s="216">
        <f ca="1">IF(DATEDIF([2]Arkusz1!S188,TODAY(),"Y")&gt;21,0,DATEDIF([2]Arkusz1!S188,TODAY(),"Y"))</f>
        <v>0</v>
      </c>
      <c r="K185" s="4">
        <f>[2]Arkusz1!T188</f>
        <v>0</v>
      </c>
      <c r="L185" s="216">
        <f>[2]Arkusz1!U188</f>
        <v>0</v>
      </c>
      <c r="M185" s="4">
        <f>[2]Arkusz1!P188</f>
        <v>0</v>
      </c>
      <c r="N185" s="4">
        <f>[2]Arkusz1!Q188</f>
        <v>0</v>
      </c>
      <c r="O185" s="4">
        <f>[2]Arkusz1!V188</f>
        <v>0</v>
      </c>
      <c r="P185" s="4">
        <f t="shared" si="4"/>
        <v>176</v>
      </c>
      <c r="Q185" s="4">
        <f>[2]Arkusz1!Y188</f>
        <v>0</v>
      </c>
      <c r="R185" s="4" t="s">
        <v>64</v>
      </c>
      <c r="S185" s="4" t="s">
        <v>64</v>
      </c>
      <c r="T185" s="4">
        <f>[2]Arkusz1!AA188</f>
        <v>0</v>
      </c>
      <c r="U185" s="4" t="str">
        <f>IF([2]Arkusz1!O188=[2]Arkusz1!$O$7,"Z",IF([2]Arkusz1!O188=[2]Arkusz1!$O$15,"Ix3",IF([2]Arkusz1!O188=[2]Arkusz1!$O$20,"Ix1","Ix2")))</f>
        <v>Ix2</v>
      </c>
      <c r="V185" s="4">
        <f>[2]Arkusz1!AM188</f>
        <v>0</v>
      </c>
      <c r="W185" s="4">
        <f>[2]Arkusz1!AB189</f>
        <v>0</v>
      </c>
      <c r="X185" s="4" t="e">
        <f>_xlfn.TEXTBEFORE([2]Arkusz1!AC189," (")</f>
        <v>#N/A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I185" s="4" t="s">
        <v>546</v>
      </c>
      <c r="AJ185" s="4" t="e">
        <v>#N/A</v>
      </c>
      <c r="AK185" s="4" t="e">
        <v>#N/A</v>
      </c>
      <c r="AL185" s="4" t="e">
        <v>#N/A</v>
      </c>
      <c r="AM185" s="4">
        <v>0</v>
      </c>
      <c r="AN185" s="4">
        <v>0</v>
      </c>
      <c r="AP185" s="4">
        <f>[1]Hist!$X195</f>
        <v>0</v>
      </c>
    </row>
    <row r="186" spans="1:42" x14ac:dyDescent="0.2">
      <c r="A186" s="4">
        <v>185</v>
      </c>
      <c r="B186" s="215">
        <f>[2]Arkusz1!B189</f>
        <v>0</v>
      </c>
      <c r="C186" s="44" t="str">
        <f>_xlfn.CONCAT([2]Arkusz1!G189," ",[2]Arkusz1!H189)</f>
        <v xml:space="preserve"> </v>
      </c>
      <c r="D186" s="4" t="e">
        <f>_xlfn.XLOOKUP(H186,[4]Sheet1!$I$2:$I$40,[4]Sheet1!$Y$2:$Y$40,,2,1)</f>
        <v>#N/A</v>
      </c>
      <c r="E186" s="4" t="e">
        <f>_xlfn.XLOOKUP(H186,[4]Sheet1!$I$2:$I$40,[4]Sheet1!$K$2:$K$40,,2,1)</f>
        <v>#N/A</v>
      </c>
      <c r="F186" s="218" t="e">
        <f>_xlfn.XLOOKUP(H186,[4]Sheet1!$I$2:$I$40,[4]Sheet1!$J$2:$J$40,,2,1)</f>
        <v>#N/A</v>
      </c>
      <c r="G186" s="4">
        <f>[2]Arkusz1!E189</f>
        <v>0</v>
      </c>
      <c r="H186" s="4">
        <f>[2]Arkusz1!J189</f>
        <v>0</v>
      </c>
      <c r="I186" s="213" t="str">
        <f>_xlfn.CONCAT([2]Arkusz1!C189," ",[2]Arkusz1!D189)</f>
        <v xml:space="preserve"> </v>
      </c>
      <c r="J186" s="216">
        <f ca="1">IF(DATEDIF([2]Arkusz1!S189,TODAY(),"Y")&gt;21,0,DATEDIF([2]Arkusz1!S189,TODAY(),"Y"))</f>
        <v>0</v>
      </c>
      <c r="K186" s="4">
        <f>[2]Arkusz1!T189</f>
        <v>0</v>
      </c>
      <c r="L186" s="216">
        <f>[2]Arkusz1!U189</f>
        <v>0</v>
      </c>
      <c r="M186" s="4">
        <f>[2]Arkusz1!P189</f>
        <v>0</v>
      </c>
      <c r="N186" s="4">
        <f>[2]Arkusz1!Q189</f>
        <v>0</v>
      </c>
      <c r="O186" s="4">
        <f>[2]Arkusz1!V189</f>
        <v>0</v>
      </c>
      <c r="P186" s="4">
        <f t="shared" si="4"/>
        <v>176</v>
      </c>
      <c r="Q186" s="4">
        <f>[2]Arkusz1!Y189</f>
        <v>0</v>
      </c>
      <c r="R186" s="4" t="s">
        <v>64</v>
      </c>
      <c r="S186" s="4" t="s">
        <v>64</v>
      </c>
      <c r="T186" s="4">
        <f>[2]Arkusz1!AA189</f>
        <v>0</v>
      </c>
      <c r="U186" s="4" t="str">
        <f>IF([2]Arkusz1!O189=[2]Arkusz1!$O$7,"Z",IF([2]Arkusz1!O189=[2]Arkusz1!$O$15,"Ix3",IF([2]Arkusz1!O189=[2]Arkusz1!$O$20,"Ix1","Ix2")))</f>
        <v>Ix2</v>
      </c>
      <c r="V186" s="4">
        <f>[2]Arkusz1!AM189</f>
        <v>0</v>
      </c>
      <c r="W186" s="4">
        <f>[2]Arkusz1!AB190</f>
        <v>0</v>
      </c>
      <c r="X186" s="4" t="e">
        <f>_xlfn.TEXTBEFORE([2]Arkusz1!AC190," (")</f>
        <v>#N/A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I186" s="4" t="s">
        <v>546</v>
      </c>
      <c r="AJ186" s="4" t="e">
        <v>#N/A</v>
      </c>
      <c r="AK186" s="4" t="e">
        <v>#N/A</v>
      </c>
      <c r="AL186" s="4" t="e">
        <v>#N/A</v>
      </c>
      <c r="AM186" s="4">
        <v>0</v>
      </c>
      <c r="AN186" s="4">
        <v>0</v>
      </c>
      <c r="AP186" s="4">
        <f>[1]Hist!$X196</f>
        <v>0</v>
      </c>
    </row>
    <row r="187" spans="1:42" x14ac:dyDescent="0.2">
      <c r="A187" s="4">
        <v>186</v>
      </c>
      <c r="B187" s="215">
        <f>[2]Arkusz1!B190</f>
        <v>0</v>
      </c>
      <c r="C187" s="44" t="str">
        <f>_xlfn.CONCAT([2]Arkusz1!G190," ",[2]Arkusz1!H190)</f>
        <v xml:space="preserve"> </v>
      </c>
      <c r="D187" s="4" t="e">
        <f>_xlfn.XLOOKUP(H187,[4]Sheet1!$I$2:$I$40,[4]Sheet1!$Y$2:$Y$40,,2,1)</f>
        <v>#N/A</v>
      </c>
      <c r="E187" s="4" t="e">
        <f>_xlfn.XLOOKUP(H187,[4]Sheet1!$I$2:$I$40,[4]Sheet1!$K$2:$K$40,,2,1)</f>
        <v>#N/A</v>
      </c>
      <c r="F187" s="218" t="e">
        <f>_xlfn.XLOOKUP(H187,[4]Sheet1!$I$2:$I$40,[4]Sheet1!$J$2:$J$40,,2,1)</f>
        <v>#N/A</v>
      </c>
      <c r="G187" s="4">
        <f>[2]Arkusz1!E190</f>
        <v>0</v>
      </c>
      <c r="H187" s="4">
        <f>[2]Arkusz1!J190</f>
        <v>0</v>
      </c>
      <c r="I187" s="213" t="str">
        <f>_xlfn.CONCAT([2]Arkusz1!C190," ",[2]Arkusz1!D190)</f>
        <v xml:space="preserve"> </v>
      </c>
      <c r="J187" s="216">
        <f ca="1">IF(DATEDIF([2]Arkusz1!S190,TODAY(),"Y")&gt;21,0,DATEDIF([2]Arkusz1!S190,TODAY(),"Y"))</f>
        <v>0</v>
      </c>
      <c r="K187" s="4">
        <f>[2]Arkusz1!T190</f>
        <v>0</v>
      </c>
      <c r="L187" s="216">
        <f>[2]Arkusz1!U190</f>
        <v>0</v>
      </c>
      <c r="M187" s="4">
        <f>[2]Arkusz1!P190</f>
        <v>0</v>
      </c>
      <c r="N187" s="4">
        <f>[2]Arkusz1!Q190</f>
        <v>0</v>
      </c>
      <c r="O187" s="4">
        <f>[2]Arkusz1!V190</f>
        <v>0</v>
      </c>
      <c r="P187" s="4">
        <f t="shared" si="4"/>
        <v>176</v>
      </c>
      <c r="Q187" s="4">
        <f>[2]Arkusz1!Y190</f>
        <v>0</v>
      </c>
      <c r="R187" s="4" t="s">
        <v>64</v>
      </c>
      <c r="S187" s="4" t="s">
        <v>64</v>
      </c>
      <c r="T187" s="4">
        <f>[2]Arkusz1!AA190</f>
        <v>0</v>
      </c>
      <c r="U187" s="4" t="str">
        <f>IF([2]Arkusz1!O190=[2]Arkusz1!$O$7,"Z",IF([2]Arkusz1!O190=[2]Arkusz1!$O$15,"Ix3",IF([2]Arkusz1!O190=[2]Arkusz1!$O$20,"Ix1","Ix2")))</f>
        <v>Ix2</v>
      </c>
      <c r="V187" s="4">
        <f>[2]Arkusz1!AM190</f>
        <v>0</v>
      </c>
      <c r="W187" s="4">
        <f>[2]Arkusz1!AB191</f>
        <v>0</v>
      </c>
      <c r="X187" s="4" t="e">
        <f>_xlfn.TEXTBEFORE([2]Arkusz1!AC191," (")</f>
        <v>#N/A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I187" s="4" t="s">
        <v>546</v>
      </c>
      <c r="AJ187" s="4" t="e">
        <v>#N/A</v>
      </c>
      <c r="AK187" s="4" t="e">
        <v>#N/A</v>
      </c>
      <c r="AL187" s="4" t="e">
        <v>#N/A</v>
      </c>
      <c r="AM187" s="4">
        <v>0</v>
      </c>
      <c r="AN187" s="4">
        <v>0</v>
      </c>
      <c r="AP187" s="4">
        <f>[1]Hist!$X197</f>
        <v>0</v>
      </c>
    </row>
    <row r="188" spans="1:42" x14ac:dyDescent="0.2">
      <c r="A188" s="4">
        <v>187</v>
      </c>
      <c r="B188" s="215">
        <f>[2]Arkusz1!B191</f>
        <v>0</v>
      </c>
      <c r="C188" s="44" t="str">
        <f>_xlfn.CONCAT([2]Arkusz1!G191," ",[2]Arkusz1!H191)</f>
        <v xml:space="preserve"> </v>
      </c>
      <c r="D188" s="4" t="e">
        <f>_xlfn.XLOOKUP(H188,[4]Sheet1!$I$2:$I$40,[4]Sheet1!$Y$2:$Y$40,,2,1)</f>
        <v>#N/A</v>
      </c>
      <c r="E188" s="4" t="e">
        <f>_xlfn.XLOOKUP(H188,[4]Sheet1!$I$2:$I$40,[4]Sheet1!$K$2:$K$40,,2,1)</f>
        <v>#N/A</v>
      </c>
      <c r="F188" s="218" t="e">
        <f>_xlfn.XLOOKUP(H188,[4]Sheet1!$I$2:$I$40,[4]Sheet1!$J$2:$J$40,,2,1)</f>
        <v>#N/A</v>
      </c>
      <c r="G188" s="4">
        <f>[2]Arkusz1!E191</f>
        <v>0</v>
      </c>
      <c r="H188" s="4">
        <f>[2]Arkusz1!J191</f>
        <v>0</v>
      </c>
      <c r="I188" s="213" t="str">
        <f>_xlfn.CONCAT([2]Arkusz1!C191," ",[2]Arkusz1!D191)</f>
        <v xml:space="preserve"> </v>
      </c>
      <c r="J188" s="216">
        <f ca="1">IF(DATEDIF([2]Arkusz1!S191,TODAY(),"Y")&gt;21,0,DATEDIF([2]Arkusz1!S191,TODAY(),"Y"))</f>
        <v>0</v>
      </c>
      <c r="K188" s="4">
        <f>[2]Arkusz1!T191</f>
        <v>0</v>
      </c>
      <c r="L188" s="216">
        <f>[2]Arkusz1!U191</f>
        <v>0</v>
      </c>
      <c r="M188" s="4">
        <f>[2]Arkusz1!P191</f>
        <v>0</v>
      </c>
      <c r="N188" s="4">
        <f>[2]Arkusz1!Q191</f>
        <v>0</v>
      </c>
      <c r="O188" s="4">
        <f>[2]Arkusz1!V191</f>
        <v>0</v>
      </c>
      <c r="P188" s="4">
        <f t="shared" si="4"/>
        <v>176</v>
      </c>
      <c r="Q188" s="4">
        <f>[2]Arkusz1!Y191</f>
        <v>0</v>
      </c>
      <c r="R188" s="4" t="s">
        <v>64</v>
      </c>
      <c r="S188" s="4" t="s">
        <v>64</v>
      </c>
      <c r="T188" s="4">
        <f>[2]Arkusz1!AA191</f>
        <v>0</v>
      </c>
      <c r="U188" s="4" t="str">
        <f>IF([2]Arkusz1!O191=[2]Arkusz1!$O$7,"Z",IF([2]Arkusz1!O191=[2]Arkusz1!$O$15,"Ix3",IF([2]Arkusz1!O191=[2]Arkusz1!$O$20,"Ix1","Ix2")))</f>
        <v>Ix2</v>
      </c>
      <c r="V188" s="4">
        <f>[2]Arkusz1!AM191</f>
        <v>0</v>
      </c>
      <c r="W188" s="4">
        <f>[2]Arkusz1!AB192</f>
        <v>0</v>
      </c>
      <c r="X188" s="4" t="e">
        <f>_xlfn.TEXTBEFORE([2]Arkusz1!AC192," (")</f>
        <v>#N/A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I188" s="4" t="s">
        <v>546</v>
      </c>
      <c r="AJ188" s="4" t="e">
        <v>#N/A</v>
      </c>
      <c r="AK188" s="4" t="e">
        <v>#N/A</v>
      </c>
      <c r="AL188" s="4" t="e">
        <v>#N/A</v>
      </c>
      <c r="AM188" s="4">
        <v>0</v>
      </c>
      <c r="AN188" s="4">
        <v>0</v>
      </c>
      <c r="AP188" s="4">
        <f>[1]Hist!$X198</f>
        <v>0</v>
      </c>
    </row>
    <row r="189" spans="1:42" x14ac:dyDescent="0.2">
      <c r="A189" s="4">
        <v>188</v>
      </c>
      <c r="B189" s="215">
        <f>[2]Arkusz1!B192</f>
        <v>0</v>
      </c>
      <c r="C189" s="44" t="str">
        <f>_xlfn.CONCAT([2]Arkusz1!G192," ",[2]Arkusz1!H192)</f>
        <v xml:space="preserve"> </v>
      </c>
      <c r="D189" s="4" t="e">
        <f>_xlfn.XLOOKUP(H189,[4]Sheet1!$I$2:$I$40,[4]Sheet1!$Y$2:$Y$40,,2,1)</f>
        <v>#N/A</v>
      </c>
      <c r="E189" s="4" t="e">
        <f>_xlfn.XLOOKUP(H189,[4]Sheet1!$I$2:$I$40,[4]Sheet1!$K$2:$K$40,,2,1)</f>
        <v>#N/A</v>
      </c>
      <c r="F189" s="218" t="e">
        <f>_xlfn.XLOOKUP(H189,[4]Sheet1!$I$2:$I$40,[4]Sheet1!$J$2:$J$40,,2,1)</f>
        <v>#N/A</v>
      </c>
      <c r="G189" s="4">
        <f>[2]Arkusz1!E192</f>
        <v>0</v>
      </c>
      <c r="H189" s="4">
        <f>[2]Arkusz1!J192</f>
        <v>0</v>
      </c>
      <c r="I189" s="213" t="str">
        <f>_xlfn.CONCAT([2]Arkusz1!C192," ",[2]Arkusz1!D192)</f>
        <v xml:space="preserve"> </v>
      </c>
      <c r="J189" s="216">
        <f ca="1">IF(DATEDIF([2]Arkusz1!S192,TODAY(),"Y")&gt;21,0,DATEDIF([2]Arkusz1!S192,TODAY(),"Y"))</f>
        <v>0</v>
      </c>
      <c r="K189" s="4">
        <f>[2]Arkusz1!T192</f>
        <v>0</v>
      </c>
      <c r="L189" s="216">
        <f>[2]Arkusz1!U192</f>
        <v>0</v>
      </c>
      <c r="M189" s="4">
        <f>[2]Arkusz1!P192</f>
        <v>0</v>
      </c>
      <c r="N189" s="4">
        <f>[2]Arkusz1!Q192</f>
        <v>0</v>
      </c>
      <c r="O189" s="4">
        <f>[2]Arkusz1!V192</f>
        <v>0</v>
      </c>
      <c r="P189" s="4">
        <f t="shared" si="4"/>
        <v>176</v>
      </c>
      <c r="Q189" s="4">
        <f>[2]Arkusz1!Y192</f>
        <v>0</v>
      </c>
      <c r="R189" s="4" t="s">
        <v>64</v>
      </c>
      <c r="S189" s="4" t="s">
        <v>64</v>
      </c>
      <c r="T189" s="4">
        <f>[2]Arkusz1!AA192</f>
        <v>0</v>
      </c>
      <c r="U189" s="4" t="str">
        <f>IF([2]Arkusz1!O192=[2]Arkusz1!$O$7,"Z",IF([2]Arkusz1!O192=[2]Arkusz1!$O$15,"Ix3",IF([2]Arkusz1!O192=[2]Arkusz1!$O$20,"Ix1","Ix2")))</f>
        <v>Ix2</v>
      </c>
      <c r="V189" s="4">
        <f>[2]Arkusz1!AM192</f>
        <v>0</v>
      </c>
      <c r="W189" s="4">
        <f>[2]Arkusz1!AB193</f>
        <v>0</v>
      </c>
      <c r="X189" s="4" t="e">
        <f>_xlfn.TEXTBEFORE([2]Arkusz1!AC193," (")</f>
        <v>#N/A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I189" s="4" t="s">
        <v>546</v>
      </c>
      <c r="AJ189" s="4" t="e">
        <v>#N/A</v>
      </c>
      <c r="AK189" s="4" t="e">
        <v>#N/A</v>
      </c>
      <c r="AL189" s="4" t="e">
        <v>#N/A</v>
      </c>
      <c r="AM189" s="4">
        <v>0</v>
      </c>
      <c r="AN189" s="4">
        <v>0</v>
      </c>
      <c r="AP189" s="4">
        <f>[1]Hist!$X199</f>
        <v>0</v>
      </c>
    </row>
    <row r="190" spans="1:42" x14ac:dyDescent="0.2">
      <c r="A190" s="4">
        <v>189</v>
      </c>
      <c r="B190" s="215">
        <f>[2]Arkusz1!B193</f>
        <v>0</v>
      </c>
      <c r="C190" s="44" t="str">
        <f>_xlfn.CONCAT([2]Arkusz1!G193," ",[2]Arkusz1!H193)</f>
        <v xml:space="preserve"> </v>
      </c>
      <c r="D190" s="4" t="e">
        <f>_xlfn.XLOOKUP(H190,[4]Sheet1!$I$2:$I$40,[4]Sheet1!$Y$2:$Y$40,,2,1)</f>
        <v>#N/A</v>
      </c>
      <c r="E190" s="4" t="e">
        <f>_xlfn.XLOOKUP(H190,[4]Sheet1!$I$2:$I$40,[4]Sheet1!$K$2:$K$40,,2,1)</f>
        <v>#N/A</v>
      </c>
      <c r="F190" s="218" t="e">
        <f>_xlfn.XLOOKUP(H190,[4]Sheet1!$I$2:$I$40,[4]Sheet1!$J$2:$J$40,,2,1)</f>
        <v>#N/A</v>
      </c>
      <c r="G190" s="4">
        <f>[2]Arkusz1!E193</f>
        <v>0</v>
      </c>
      <c r="H190" s="4">
        <f>[2]Arkusz1!J193</f>
        <v>0</v>
      </c>
      <c r="I190" s="213" t="str">
        <f>_xlfn.CONCAT([2]Arkusz1!C193," ",[2]Arkusz1!D193)</f>
        <v xml:space="preserve"> </v>
      </c>
      <c r="J190" s="216">
        <f ca="1">IF(DATEDIF([2]Arkusz1!S193,TODAY(),"Y")&gt;21,0,DATEDIF([2]Arkusz1!S193,TODAY(),"Y"))</f>
        <v>0</v>
      </c>
      <c r="K190" s="4">
        <f>[2]Arkusz1!T193</f>
        <v>0</v>
      </c>
      <c r="L190" s="216">
        <f>[2]Arkusz1!U193</f>
        <v>0</v>
      </c>
      <c r="M190" s="4">
        <f>[2]Arkusz1!P193</f>
        <v>0</v>
      </c>
      <c r="N190" s="4">
        <f>[2]Arkusz1!Q193</f>
        <v>0</v>
      </c>
      <c r="O190" s="4">
        <f>[2]Arkusz1!V193</f>
        <v>0</v>
      </c>
      <c r="P190" s="4">
        <f t="shared" si="4"/>
        <v>176</v>
      </c>
      <c r="Q190" s="4">
        <f>[2]Arkusz1!Y193</f>
        <v>0</v>
      </c>
      <c r="R190" s="4" t="s">
        <v>64</v>
      </c>
      <c r="S190" s="4" t="s">
        <v>64</v>
      </c>
      <c r="T190" s="4">
        <f>[2]Arkusz1!AA193</f>
        <v>0</v>
      </c>
      <c r="U190" s="4" t="str">
        <f>IF([2]Arkusz1!O193=[2]Arkusz1!$O$7,"Z",IF([2]Arkusz1!O193=[2]Arkusz1!$O$15,"Ix3",IF([2]Arkusz1!O193=[2]Arkusz1!$O$20,"Ix1","Ix2")))</f>
        <v>Ix2</v>
      </c>
      <c r="V190" s="4">
        <f>[2]Arkusz1!AM193</f>
        <v>0</v>
      </c>
      <c r="W190" s="4">
        <f>[2]Arkusz1!AB194</f>
        <v>0</v>
      </c>
      <c r="X190" s="4" t="e">
        <f>_xlfn.TEXTBEFORE([2]Arkusz1!AC194," (")</f>
        <v>#N/A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I190" s="4" t="s">
        <v>546</v>
      </c>
      <c r="AJ190" s="4" t="e">
        <v>#N/A</v>
      </c>
      <c r="AK190" s="4" t="e">
        <v>#N/A</v>
      </c>
      <c r="AL190" s="4" t="e">
        <v>#N/A</v>
      </c>
      <c r="AM190" s="4">
        <v>0</v>
      </c>
      <c r="AN190" s="4">
        <v>0</v>
      </c>
      <c r="AP190" s="4">
        <f>[1]Hist!$X200</f>
        <v>0</v>
      </c>
    </row>
    <row r="191" spans="1:42" x14ac:dyDescent="0.2">
      <c r="A191" s="4">
        <v>190</v>
      </c>
      <c r="B191" s="215">
        <f>[2]Arkusz1!B194</f>
        <v>0</v>
      </c>
      <c r="C191" s="44" t="str">
        <f>_xlfn.CONCAT([2]Arkusz1!G194," ",[2]Arkusz1!H194)</f>
        <v xml:space="preserve"> </v>
      </c>
      <c r="D191" s="4" t="e">
        <f>_xlfn.XLOOKUP(H191,[4]Sheet1!$I$2:$I$40,[4]Sheet1!$Y$2:$Y$40,,2,1)</f>
        <v>#N/A</v>
      </c>
      <c r="E191" s="4" t="e">
        <f>_xlfn.XLOOKUP(H191,[4]Sheet1!$I$2:$I$40,[4]Sheet1!$K$2:$K$40,,2,1)</f>
        <v>#N/A</v>
      </c>
      <c r="F191" s="218" t="e">
        <f>_xlfn.XLOOKUP(H191,[4]Sheet1!$I$2:$I$40,[4]Sheet1!$J$2:$J$40,,2,1)</f>
        <v>#N/A</v>
      </c>
      <c r="G191" s="4">
        <f>[2]Arkusz1!E194</f>
        <v>0</v>
      </c>
      <c r="H191" s="4">
        <f>[2]Arkusz1!J194</f>
        <v>0</v>
      </c>
      <c r="I191" s="213" t="str">
        <f>_xlfn.CONCAT([2]Arkusz1!C194," ",[2]Arkusz1!D194)</f>
        <v xml:space="preserve"> </v>
      </c>
      <c r="J191" s="216">
        <f ca="1">IF(DATEDIF([2]Arkusz1!S194,TODAY(),"Y")&gt;21,0,DATEDIF([2]Arkusz1!S194,TODAY(),"Y"))</f>
        <v>0</v>
      </c>
      <c r="K191" s="4">
        <f>[2]Arkusz1!T194</f>
        <v>0</v>
      </c>
      <c r="L191" s="216">
        <f>[2]Arkusz1!U194</f>
        <v>0</v>
      </c>
      <c r="M191" s="4">
        <f>[2]Arkusz1!P194</f>
        <v>0</v>
      </c>
      <c r="N191" s="4">
        <f>[2]Arkusz1!Q194</f>
        <v>0</v>
      </c>
      <c r="O191" s="4">
        <f>[2]Arkusz1!V194</f>
        <v>0</v>
      </c>
      <c r="P191" s="4">
        <f t="shared" si="4"/>
        <v>176</v>
      </c>
      <c r="Q191" s="4">
        <f>[2]Arkusz1!Y194</f>
        <v>0</v>
      </c>
      <c r="R191" s="4" t="s">
        <v>64</v>
      </c>
      <c r="S191" s="4" t="s">
        <v>64</v>
      </c>
      <c r="T191" s="4">
        <f>[2]Arkusz1!AA194</f>
        <v>0</v>
      </c>
      <c r="U191" s="4" t="str">
        <f>IF([2]Arkusz1!O194=[2]Arkusz1!$O$7,"Z",IF([2]Arkusz1!O194=[2]Arkusz1!$O$15,"Ix3",IF([2]Arkusz1!O194=[2]Arkusz1!$O$20,"Ix1","Ix2")))</f>
        <v>Ix2</v>
      </c>
      <c r="V191" s="4">
        <f>[2]Arkusz1!AM194</f>
        <v>0</v>
      </c>
      <c r="W191" s="4">
        <f>[2]Arkusz1!AB195</f>
        <v>0</v>
      </c>
      <c r="X191" s="4" t="e">
        <f>_xlfn.TEXTBEFORE([2]Arkusz1!AC195," (")</f>
        <v>#N/A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I191" s="4" t="s">
        <v>546</v>
      </c>
      <c r="AJ191" s="4" t="e">
        <v>#N/A</v>
      </c>
      <c r="AK191" s="4" t="e">
        <v>#N/A</v>
      </c>
      <c r="AL191" s="4" t="e">
        <v>#N/A</v>
      </c>
      <c r="AM191" s="4">
        <v>0</v>
      </c>
      <c r="AN191" s="4">
        <v>0</v>
      </c>
      <c r="AP191" s="4">
        <f>[1]Hist!$X201</f>
        <v>0</v>
      </c>
    </row>
    <row r="192" spans="1:42" x14ac:dyDescent="0.2">
      <c r="A192" s="4">
        <v>191</v>
      </c>
      <c r="B192" s="215">
        <f>[2]Arkusz1!B195</f>
        <v>0</v>
      </c>
      <c r="C192" s="44" t="str">
        <f>_xlfn.CONCAT([2]Arkusz1!G195," ",[2]Arkusz1!H195)</f>
        <v xml:space="preserve"> </v>
      </c>
      <c r="D192" s="4" t="e">
        <f>_xlfn.XLOOKUP(H192,[4]Sheet1!$I$2:$I$40,[4]Sheet1!$Y$2:$Y$40,,2,1)</f>
        <v>#N/A</v>
      </c>
      <c r="E192" s="4" t="e">
        <f>_xlfn.XLOOKUP(H192,[4]Sheet1!$I$2:$I$40,[4]Sheet1!$K$2:$K$40,,2,1)</f>
        <v>#N/A</v>
      </c>
      <c r="F192" s="218" t="e">
        <f>_xlfn.XLOOKUP(H192,[4]Sheet1!$I$2:$I$40,[4]Sheet1!$J$2:$J$40,,2,1)</f>
        <v>#N/A</v>
      </c>
      <c r="G192" s="4">
        <f>[2]Arkusz1!E195</f>
        <v>0</v>
      </c>
      <c r="H192" s="4">
        <f>[2]Arkusz1!J195</f>
        <v>0</v>
      </c>
      <c r="I192" s="213" t="str">
        <f>_xlfn.CONCAT([2]Arkusz1!C195," ",[2]Arkusz1!D195)</f>
        <v xml:space="preserve"> </v>
      </c>
      <c r="J192" s="216">
        <f ca="1">IF(DATEDIF([2]Arkusz1!S195,TODAY(),"Y")&gt;21,0,DATEDIF([2]Arkusz1!S195,TODAY(),"Y"))</f>
        <v>0</v>
      </c>
      <c r="K192" s="4">
        <f>[2]Arkusz1!T195</f>
        <v>0</v>
      </c>
      <c r="L192" s="216">
        <f>[2]Arkusz1!U195</f>
        <v>0</v>
      </c>
      <c r="M192" s="4">
        <f>[2]Arkusz1!P195</f>
        <v>0</v>
      </c>
      <c r="N192" s="4">
        <f>[2]Arkusz1!Q195</f>
        <v>0</v>
      </c>
      <c r="O192" s="4">
        <f>[2]Arkusz1!V195</f>
        <v>0</v>
      </c>
      <c r="P192" s="4">
        <f t="shared" si="4"/>
        <v>176</v>
      </c>
      <c r="Q192" s="4">
        <f>[2]Arkusz1!Y195</f>
        <v>0</v>
      </c>
      <c r="R192" s="4" t="s">
        <v>64</v>
      </c>
      <c r="S192" s="4" t="s">
        <v>64</v>
      </c>
      <c r="T192" s="4">
        <f>[2]Arkusz1!AA195</f>
        <v>0</v>
      </c>
      <c r="U192" s="4" t="str">
        <f>IF([2]Arkusz1!O195=[2]Arkusz1!$O$7,"Z",IF([2]Arkusz1!O195=[2]Arkusz1!$O$15,"Ix3",IF([2]Arkusz1!O195=[2]Arkusz1!$O$20,"Ix1","Ix2")))</f>
        <v>Ix2</v>
      </c>
      <c r="V192" s="4">
        <f>[2]Arkusz1!AM195</f>
        <v>0</v>
      </c>
      <c r="W192" s="4">
        <f>[2]Arkusz1!AB196</f>
        <v>0</v>
      </c>
      <c r="X192" s="4" t="e">
        <f>_xlfn.TEXTBEFORE([2]Arkusz1!AC196," (")</f>
        <v>#N/A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I192" s="4" t="s">
        <v>546</v>
      </c>
      <c r="AJ192" s="4" t="e">
        <v>#N/A</v>
      </c>
      <c r="AK192" s="4" t="e">
        <v>#N/A</v>
      </c>
      <c r="AL192" s="4" t="e">
        <v>#N/A</v>
      </c>
      <c r="AM192" s="4">
        <v>0</v>
      </c>
      <c r="AN192" s="4">
        <v>0</v>
      </c>
      <c r="AP192" s="4">
        <f>[1]Hist!$X202</f>
        <v>0</v>
      </c>
    </row>
    <row r="193" spans="1:42" x14ac:dyDescent="0.2">
      <c r="A193" s="4">
        <v>192</v>
      </c>
      <c r="B193" s="215">
        <f>[2]Arkusz1!B196</f>
        <v>0</v>
      </c>
      <c r="C193" s="44" t="str">
        <f>_xlfn.CONCAT([2]Arkusz1!G196," ",[2]Arkusz1!H196)</f>
        <v xml:space="preserve"> </v>
      </c>
      <c r="D193" s="4" t="e">
        <f>_xlfn.XLOOKUP(H193,[4]Sheet1!$I$2:$I$40,[4]Sheet1!$Y$2:$Y$40,,2,1)</f>
        <v>#N/A</v>
      </c>
      <c r="E193" s="4" t="e">
        <f>_xlfn.XLOOKUP(H193,[4]Sheet1!$I$2:$I$40,[4]Sheet1!$K$2:$K$40,,2,1)</f>
        <v>#N/A</v>
      </c>
      <c r="F193" s="218" t="e">
        <f>_xlfn.XLOOKUP(H193,[4]Sheet1!$I$2:$I$40,[4]Sheet1!$J$2:$J$40,,2,1)</f>
        <v>#N/A</v>
      </c>
      <c r="G193" s="4">
        <f>[2]Arkusz1!E196</f>
        <v>0</v>
      </c>
      <c r="H193" s="4">
        <f>[2]Arkusz1!J196</f>
        <v>0</v>
      </c>
      <c r="I193" s="213" t="str">
        <f>_xlfn.CONCAT([2]Arkusz1!C196," ",[2]Arkusz1!D196)</f>
        <v xml:space="preserve"> </v>
      </c>
      <c r="J193" s="216">
        <f ca="1">IF(DATEDIF([2]Arkusz1!S196,TODAY(),"Y")&gt;21,0,DATEDIF([2]Arkusz1!S196,TODAY(),"Y"))</f>
        <v>0</v>
      </c>
      <c r="K193" s="4">
        <f>[2]Arkusz1!T196</f>
        <v>0</v>
      </c>
      <c r="L193" s="216">
        <f>[2]Arkusz1!U196</f>
        <v>0</v>
      </c>
      <c r="M193" s="4">
        <f>[2]Arkusz1!P196</f>
        <v>0</v>
      </c>
      <c r="N193" s="4">
        <f>[2]Arkusz1!Q196</f>
        <v>0</v>
      </c>
      <c r="O193" s="4">
        <f>[2]Arkusz1!V196</f>
        <v>0</v>
      </c>
      <c r="P193" s="4">
        <f t="shared" si="4"/>
        <v>176</v>
      </c>
      <c r="Q193" s="4">
        <f>[2]Arkusz1!Y196</f>
        <v>0</v>
      </c>
      <c r="R193" s="4" t="s">
        <v>64</v>
      </c>
      <c r="S193" s="4" t="s">
        <v>64</v>
      </c>
      <c r="T193" s="4">
        <f>[2]Arkusz1!AA196</f>
        <v>0</v>
      </c>
      <c r="U193" s="4" t="str">
        <f>IF([2]Arkusz1!O196=[2]Arkusz1!$O$7,"Z",IF([2]Arkusz1!O196=[2]Arkusz1!$O$15,"Ix3",IF([2]Arkusz1!O196=[2]Arkusz1!$O$20,"Ix1","Ix2")))</f>
        <v>Ix2</v>
      </c>
      <c r="V193" s="4">
        <f>[2]Arkusz1!AM196</f>
        <v>0</v>
      </c>
      <c r="W193" s="4">
        <f>[2]Arkusz1!AB197</f>
        <v>0</v>
      </c>
      <c r="X193" s="4" t="e">
        <f>_xlfn.TEXTBEFORE([2]Arkusz1!AC197," (")</f>
        <v>#N/A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I193" s="4" t="s">
        <v>546</v>
      </c>
      <c r="AJ193" s="4" t="e">
        <v>#N/A</v>
      </c>
      <c r="AK193" s="4" t="e">
        <v>#N/A</v>
      </c>
      <c r="AL193" s="4" t="e">
        <v>#N/A</v>
      </c>
      <c r="AM193" s="4">
        <v>0</v>
      </c>
      <c r="AN193" s="4">
        <v>0</v>
      </c>
      <c r="AP193" s="4">
        <f>[1]Hist!$X203</f>
        <v>0</v>
      </c>
    </row>
    <row r="194" spans="1:42" x14ac:dyDescent="0.2">
      <c r="A194" s="4">
        <v>193</v>
      </c>
      <c r="B194" s="215">
        <f>[2]Arkusz1!B197</f>
        <v>0</v>
      </c>
      <c r="C194" s="44" t="str">
        <f>_xlfn.CONCAT([2]Arkusz1!G197," ",[2]Arkusz1!H197)</f>
        <v xml:space="preserve"> </v>
      </c>
      <c r="D194" s="4" t="e">
        <f>_xlfn.XLOOKUP(H194,[4]Sheet1!$I$2:$I$40,[4]Sheet1!$Y$2:$Y$40,,2,1)</f>
        <v>#N/A</v>
      </c>
      <c r="E194" s="4" t="e">
        <f>_xlfn.XLOOKUP(H194,[4]Sheet1!$I$2:$I$40,[4]Sheet1!$K$2:$K$40,,2,1)</f>
        <v>#N/A</v>
      </c>
      <c r="F194" s="218" t="e">
        <f>_xlfn.XLOOKUP(H194,[4]Sheet1!$I$2:$I$40,[4]Sheet1!$J$2:$J$40,,2,1)</f>
        <v>#N/A</v>
      </c>
      <c r="G194" s="4">
        <f>[2]Arkusz1!E197</f>
        <v>0</v>
      </c>
      <c r="H194" s="4">
        <f>[2]Arkusz1!J197</f>
        <v>0</v>
      </c>
      <c r="I194" s="213" t="str">
        <f>_xlfn.CONCAT([2]Arkusz1!C197," ",[2]Arkusz1!D197)</f>
        <v xml:space="preserve"> </v>
      </c>
      <c r="J194" s="216">
        <f ca="1">IF(DATEDIF([2]Arkusz1!S197,TODAY(),"Y")&gt;21,0,DATEDIF([2]Arkusz1!S197,TODAY(),"Y"))</f>
        <v>0</v>
      </c>
      <c r="K194" s="4">
        <f>[2]Arkusz1!T197</f>
        <v>0</v>
      </c>
      <c r="L194" s="216">
        <f>[2]Arkusz1!U197</f>
        <v>0</v>
      </c>
      <c r="M194" s="4">
        <f>[2]Arkusz1!P197</f>
        <v>0</v>
      </c>
      <c r="N194" s="4">
        <f>[2]Arkusz1!Q197</f>
        <v>0</v>
      </c>
      <c r="O194" s="4">
        <f>[2]Arkusz1!V197</f>
        <v>0</v>
      </c>
      <c r="P194" s="4">
        <f t="shared" si="4"/>
        <v>176</v>
      </c>
      <c r="Q194" s="4">
        <f>[2]Arkusz1!Y197</f>
        <v>0</v>
      </c>
      <c r="R194" s="4" t="s">
        <v>64</v>
      </c>
      <c r="S194" s="4" t="s">
        <v>64</v>
      </c>
      <c r="T194" s="4">
        <f>[2]Arkusz1!AA197</f>
        <v>0</v>
      </c>
      <c r="U194" s="4" t="str">
        <f>IF([2]Arkusz1!O197=[2]Arkusz1!$O$7,"Z",IF([2]Arkusz1!O197=[2]Arkusz1!$O$15,"Ix3",IF([2]Arkusz1!O197=[2]Arkusz1!$O$20,"Ix1","Ix2")))</f>
        <v>Ix2</v>
      </c>
      <c r="V194" s="4">
        <f>[2]Arkusz1!AM197</f>
        <v>0</v>
      </c>
      <c r="W194" s="4">
        <f>[2]Arkusz1!AB198</f>
        <v>0</v>
      </c>
      <c r="X194" s="4" t="e">
        <f>_xlfn.TEXTBEFORE([2]Arkusz1!AC198," (")</f>
        <v>#N/A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I194" s="4" t="s">
        <v>546</v>
      </c>
      <c r="AJ194" s="4" t="e">
        <v>#N/A</v>
      </c>
      <c r="AK194" s="4" t="e">
        <v>#N/A</v>
      </c>
      <c r="AL194" s="4" t="e">
        <v>#N/A</v>
      </c>
      <c r="AM194" s="4">
        <v>0</v>
      </c>
      <c r="AN194" s="4">
        <v>0</v>
      </c>
      <c r="AP194" s="4">
        <f>[1]Hist!$X204</f>
        <v>0</v>
      </c>
    </row>
    <row r="195" spans="1:42" x14ac:dyDescent="0.2">
      <c r="A195" s="4">
        <v>194</v>
      </c>
      <c r="B195" s="215">
        <f>[2]Arkusz1!B198</f>
        <v>0</v>
      </c>
      <c r="C195" s="44" t="str">
        <f>_xlfn.CONCAT([2]Arkusz1!G198," ",[2]Arkusz1!H198)</f>
        <v xml:space="preserve"> </v>
      </c>
      <c r="D195" s="4" t="e">
        <f>_xlfn.XLOOKUP(H195,[4]Sheet1!$I$2:$I$40,[4]Sheet1!$Y$2:$Y$40,,2,1)</f>
        <v>#N/A</v>
      </c>
      <c r="E195" s="4" t="e">
        <f>_xlfn.XLOOKUP(H195,[4]Sheet1!$I$2:$I$40,[4]Sheet1!$K$2:$K$40,,2,1)</f>
        <v>#N/A</v>
      </c>
      <c r="F195" s="218" t="e">
        <f>_xlfn.XLOOKUP(H195,[4]Sheet1!$I$2:$I$40,[4]Sheet1!$J$2:$J$40,,2,1)</f>
        <v>#N/A</v>
      </c>
      <c r="G195" s="4">
        <f>[2]Arkusz1!E198</f>
        <v>0</v>
      </c>
      <c r="H195" s="4">
        <f>[2]Arkusz1!J198</f>
        <v>0</v>
      </c>
      <c r="I195" s="213" t="str">
        <f>_xlfn.CONCAT([2]Arkusz1!C198," ",[2]Arkusz1!D198)</f>
        <v xml:space="preserve"> </v>
      </c>
      <c r="J195" s="216">
        <f ca="1">IF(DATEDIF([2]Arkusz1!S198,TODAY(),"Y")&gt;21,0,DATEDIF([2]Arkusz1!S198,TODAY(),"Y"))</f>
        <v>0</v>
      </c>
      <c r="K195" s="4">
        <f>[2]Arkusz1!T198</f>
        <v>0</v>
      </c>
      <c r="L195" s="216">
        <f>[2]Arkusz1!U198</f>
        <v>0</v>
      </c>
      <c r="M195" s="4">
        <f>[2]Arkusz1!P198</f>
        <v>0</v>
      </c>
      <c r="N195" s="4">
        <f>[2]Arkusz1!Q198</f>
        <v>0</v>
      </c>
      <c r="O195" s="4">
        <f>[2]Arkusz1!V198</f>
        <v>0</v>
      </c>
      <c r="P195" s="4">
        <f t="shared" ref="P195:P258" si="5">COUNTIFS($C$3:$C$302,C195)</f>
        <v>176</v>
      </c>
      <c r="Q195" s="4">
        <f>[2]Arkusz1!Y198</f>
        <v>0</v>
      </c>
      <c r="R195" s="4" t="s">
        <v>64</v>
      </c>
      <c r="S195" s="4" t="s">
        <v>64</v>
      </c>
      <c r="T195" s="4">
        <f>[2]Arkusz1!AA198</f>
        <v>0</v>
      </c>
      <c r="U195" s="4" t="str">
        <f>IF([2]Arkusz1!O198=[2]Arkusz1!$O$7,"Z",IF([2]Arkusz1!O198=[2]Arkusz1!$O$15,"Ix3",IF([2]Arkusz1!O198=[2]Arkusz1!$O$20,"Ix1","Ix2")))</f>
        <v>Ix2</v>
      </c>
      <c r="V195" s="4">
        <f>[2]Arkusz1!AM198</f>
        <v>0</v>
      </c>
      <c r="W195" s="4">
        <f>[2]Arkusz1!AB199</f>
        <v>0</v>
      </c>
      <c r="X195" s="4" t="e">
        <f>_xlfn.TEXTBEFORE([2]Arkusz1!AC199," (")</f>
        <v>#N/A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I195" s="4" t="s">
        <v>546</v>
      </c>
      <c r="AJ195" s="4" t="e">
        <v>#N/A</v>
      </c>
      <c r="AK195" s="4" t="e">
        <v>#N/A</v>
      </c>
      <c r="AL195" s="4" t="e">
        <v>#N/A</v>
      </c>
      <c r="AM195" s="4">
        <v>0</v>
      </c>
      <c r="AN195" s="4">
        <v>0</v>
      </c>
      <c r="AP195" s="4">
        <f>[1]Hist!$X205</f>
        <v>0</v>
      </c>
    </row>
    <row r="196" spans="1:42" x14ac:dyDescent="0.2">
      <c r="A196" s="4">
        <v>195</v>
      </c>
      <c r="B196" s="215">
        <f>[2]Arkusz1!B199</f>
        <v>0</v>
      </c>
      <c r="C196" s="44" t="str">
        <f>_xlfn.CONCAT([2]Arkusz1!G199," ",[2]Arkusz1!H199)</f>
        <v xml:space="preserve"> </v>
      </c>
      <c r="D196" s="4" t="e">
        <f>_xlfn.XLOOKUP(H196,[4]Sheet1!$I$2:$I$40,[4]Sheet1!$Y$2:$Y$40,,2,1)</f>
        <v>#N/A</v>
      </c>
      <c r="E196" s="4" t="e">
        <f>_xlfn.XLOOKUP(H196,[4]Sheet1!$I$2:$I$40,[4]Sheet1!$K$2:$K$40,,2,1)</f>
        <v>#N/A</v>
      </c>
      <c r="F196" s="218" t="e">
        <f>_xlfn.XLOOKUP(H196,[4]Sheet1!$I$2:$I$40,[4]Sheet1!$J$2:$J$40,,2,1)</f>
        <v>#N/A</v>
      </c>
      <c r="G196" s="4">
        <f>[2]Arkusz1!E199</f>
        <v>0</v>
      </c>
      <c r="H196" s="4">
        <f>[2]Arkusz1!J199</f>
        <v>0</v>
      </c>
      <c r="I196" s="213" t="str">
        <f>_xlfn.CONCAT([2]Arkusz1!C199," ",[2]Arkusz1!D199)</f>
        <v xml:space="preserve"> </v>
      </c>
      <c r="J196" s="216">
        <f ca="1">IF(DATEDIF([2]Arkusz1!S199,TODAY(),"Y")&gt;21,0,DATEDIF([2]Arkusz1!S199,TODAY(),"Y"))</f>
        <v>0</v>
      </c>
      <c r="K196" s="4">
        <f>[2]Arkusz1!T199</f>
        <v>0</v>
      </c>
      <c r="L196" s="216">
        <f>[2]Arkusz1!U199</f>
        <v>0</v>
      </c>
      <c r="M196" s="4">
        <f>[2]Arkusz1!P199</f>
        <v>0</v>
      </c>
      <c r="N196" s="4">
        <f>[2]Arkusz1!Q199</f>
        <v>0</v>
      </c>
      <c r="O196" s="4">
        <f>[2]Arkusz1!V199</f>
        <v>0</v>
      </c>
      <c r="P196" s="4">
        <f t="shared" si="5"/>
        <v>176</v>
      </c>
      <c r="Q196" s="4">
        <f>[2]Arkusz1!Y199</f>
        <v>0</v>
      </c>
      <c r="R196" s="4" t="s">
        <v>64</v>
      </c>
      <c r="S196" s="4" t="s">
        <v>64</v>
      </c>
      <c r="T196" s="4">
        <f>[2]Arkusz1!AA199</f>
        <v>0</v>
      </c>
      <c r="U196" s="4" t="str">
        <f>IF([2]Arkusz1!O199=[2]Arkusz1!$O$7,"Z",IF([2]Arkusz1!O199=[2]Arkusz1!$O$15,"Ix3",IF([2]Arkusz1!O199=[2]Arkusz1!$O$20,"Ix1","Ix2")))</f>
        <v>Ix2</v>
      </c>
      <c r="V196" s="4">
        <f>[2]Arkusz1!AM199</f>
        <v>0</v>
      </c>
      <c r="W196" s="4">
        <f>[2]Arkusz1!AB200</f>
        <v>0</v>
      </c>
      <c r="X196" s="4" t="e">
        <f>_xlfn.TEXTBEFORE([2]Arkusz1!AC200," (")</f>
        <v>#N/A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I196" s="4" t="s">
        <v>546</v>
      </c>
      <c r="AJ196" s="4" t="e">
        <v>#N/A</v>
      </c>
      <c r="AK196" s="4" t="e">
        <v>#N/A</v>
      </c>
      <c r="AL196" s="4" t="e">
        <v>#N/A</v>
      </c>
      <c r="AM196" s="4">
        <v>0</v>
      </c>
      <c r="AN196" s="4">
        <v>0</v>
      </c>
      <c r="AP196" s="4">
        <f>[1]Hist!$X206</f>
        <v>0</v>
      </c>
    </row>
    <row r="197" spans="1:42" x14ac:dyDescent="0.2">
      <c r="A197" s="4">
        <v>196</v>
      </c>
      <c r="B197" s="215">
        <f>[2]Arkusz1!B200</f>
        <v>0</v>
      </c>
      <c r="C197" s="44" t="str">
        <f>_xlfn.CONCAT([2]Arkusz1!G200," ",[2]Arkusz1!H200)</f>
        <v xml:space="preserve"> </v>
      </c>
      <c r="D197" s="4" t="e">
        <f>_xlfn.XLOOKUP(H197,[4]Sheet1!$I$2:$I$40,[4]Sheet1!$Y$2:$Y$40,,2,1)</f>
        <v>#N/A</v>
      </c>
      <c r="E197" s="4" t="e">
        <f>_xlfn.XLOOKUP(H197,[4]Sheet1!$I$2:$I$40,[4]Sheet1!$K$2:$K$40,,2,1)</f>
        <v>#N/A</v>
      </c>
      <c r="F197" s="218" t="e">
        <f>_xlfn.XLOOKUP(H197,[4]Sheet1!$I$2:$I$40,[4]Sheet1!$J$2:$J$40,,2,1)</f>
        <v>#N/A</v>
      </c>
      <c r="G197" s="4">
        <f>[2]Arkusz1!E200</f>
        <v>0</v>
      </c>
      <c r="H197" s="4">
        <f>[2]Arkusz1!J200</f>
        <v>0</v>
      </c>
      <c r="I197" s="213" t="str">
        <f>_xlfn.CONCAT([2]Arkusz1!C200," ",[2]Arkusz1!D200)</f>
        <v xml:space="preserve"> </v>
      </c>
      <c r="J197" s="216">
        <f ca="1">IF(DATEDIF([2]Arkusz1!S200,TODAY(),"Y")&gt;21,0,DATEDIF([2]Arkusz1!S200,TODAY(),"Y"))</f>
        <v>0</v>
      </c>
      <c r="K197" s="4">
        <f>[2]Arkusz1!T200</f>
        <v>0</v>
      </c>
      <c r="L197" s="216">
        <f>[2]Arkusz1!U200</f>
        <v>0</v>
      </c>
      <c r="M197" s="4">
        <f>[2]Arkusz1!P200</f>
        <v>0</v>
      </c>
      <c r="N197" s="4">
        <f>[2]Arkusz1!Q200</f>
        <v>0</v>
      </c>
      <c r="O197" s="4">
        <f>[2]Arkusz1!V200</f>
        <v>0</v>
      </c>
      <c r="P197" s="4">
        <f t="shared" si="5"/>
        <v>176</v>
      </c>
      <c r="Q197" s="4">
        <f>[2]Arkusz1!Y200</f>
        <v>0</v>
      </c>
      <c r="R197" s="4" t="s">
        <v>64</v>
      </c>
      <c r="S197" s="4" t="s">
        <v>64</v>
      </c>
      <c r="T197" s="4">
        <f>[2]Arkusz1!AA200</f>
        <v>0</v>
      </c>
      <c r="U197" s="4" t="str">
        <f>IF([2]Arkusz1!O200=[2]Arkusz1!$O$7,"Z",IF([2]Arkusz1!O200=[2]Arkusz1!$O$15,"Ix3",IF([2]Arkusz1!O200=[2]Arkusz1!$O$20,"Ix1","Ix2")))</f>
        <v>Ix2</v>
      </c>
      <c r="V197" s="4">
        <f>[2]Arkusz1!AM200</f>
        <v>0</v>
      </c>
      <c r="W197" s="4">
        <f>[2]Arkusz1!AB201</f>
        <v>0</v>
      </c>
      <c r="X197" s="4" t="e">
        <f>_xlfn.TEXTBEFORE([2]Arkusz1!AC201," (")</f>
        <v>#N/A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I197" s="4" t="s">
        <v>546</v>
      </c>
      <c r="AJ197" s="4" t="e">
        <v>#N/A</v>
      </c>
      <c r="AK197" s="4" t="e">
        <v>#N/A</v>
      </c>
      <c r="AL197" s="4" t="e">
        <v>#N/A</v>
      </c>
      <c r="AM197" s="4">
        <v>0</v>
      </c>
      <c r="AN197" s="4">
        <v>0</v>
      </c>
      <c r="AP197" s="4">
        <f>[1]Hist!$X207</f>
        <v>0</v>
      </c>
    </row>
    <row r="198" spans="1:42" x14ac:dyDescent="0.2">
      <c r="A198" s="4">
        <v>197</v>
      </c>
      <c r="B198" s="215">
        <f>[2]Arkusz1!B201</f>
        <v>0</v>
      </c>
      <c r="C198" s="44" t="str">
        <f>_xlfn.CONCAT([2]Arkusz1!G201," ",[2]Arkusz1!H201)</f>
        <v xml:space="preserve"> </v>
      </c>
      <c r="D198" s="4" t="e">
        <f>_xlfn.XLOOKUP(H198,[4]Sheet1!$I$2:$I$40,[4]Sheet1!$Y$2:$Y$40,,2,1)</f>
        <v>#N/A</v>
      </c>
      <c r="E198" s="4" t="e">
        <f>_xlfn.XLOOKUP(H198,[4]Sheet1!$I$2:$I$40,[4]Sheet1!$K$2:$K$40,,2,1)</f>
        <v>#N/A</v>
      </c>
      <c r="F198" s="218" t="e">
        <f>_xlfn.XLOOKUP(H198,[4]Sheet1!$I$2:$I$40,[4]Sheet1!$J$2:$J$40,,2,1)</f>
        <v>#N/A</v>
      </c>
      <c r="G198" s="4">
        <f>[2]Arkusz1!E201</f>
        <v>0</v>
      </c>
      <c r="H198" s="4">
        <f>[2]Arkusz1!J201</f>
        <v>0</v>
      </c>
      <c r="I198" s="213" t="str">
        <f>_xlfn.CONCAT([2]Arkusz1!C201," ",[2]Arkusz1!D201)</f>
        <v xml:space="preserve"> </v>
      </c>
      <c r="J198" s="216">
        <f ca="1">IF(DATEDIF([2]Arkusz1!S201,TODAY(),"Y")&gt;21,0,DATEDIF([2]Arkusz1!S201,TODAY(),"Y"))</f>
        <v>0</v>
      </c>
      <c r="K198" s="4">
        <f>[2]Arkusz1!T201</f>
        <v>0</v>
      </c>
      <c r="L198" s="216">
        <f>[2]Arkusz1!U201</f>
        <v>0</v>
      </c>
      <c r="M198" s="4">
        <f>[2]Arkusz1!P201</f>
        <v>0</v>
      </c>
      <c r="N198" s="4">
        <f>[2]Arkusz1!Q201</f>
        <v>0</v>
      </c>
      <c r="O198" s="4">
        <f>[2]Arkusz1!V201</f>
        <v>0</v>
      </c>
      <c r="P198" s="4">
        <f t="shared" si="5"/>
        <v>176</v>
      </c>
      <c r="Q198" s="4">
        <f>[2]Arkusz1!Y201</f>
        <v>0</v>
      </c>
      <c r="R198" s="4" t="s">
        <v>64</v>
      </c>
      <c r="S198" s="4" t="s">
        <v>64</v>
      </c>
      <c r="T198" s="4">
        <f>[2]Arkusz1!AA201</f>
        <v>0</v>
      </c>
      <c r="U198" s="4" t="str">
        <f>IF([2]Arkusz1!O201=[2]Arkusz1!$O$7,"Z",IF([2]Arkusz1!O201=[2]Arkusz1!$O$15,"Ix3",IF([2]Arkusz1!O201=[2]Arkusz1!$O$20,"Ix1","Ix2")))</f>
        <v>Ix2</v>
      </c>
      <c r="V198" s="4">
        <f>[2]Arkusz1!AM201</f>
        <v>0</v>
      </c>
      <c r="W198" s="4">
        <f>[2]Arkusz1!AB202</f>
        <v>0</v>
      </c>
      <c r="X198" s="4" t="e">
        <f>_xlfn.TEXTBEFORE([2]Arkusz1!AC202," (")</f>
        <v>#N/A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I198" s="4" t="s">
        <v>546</v>
      </c>
      <c r="AJ198" s="4" t="e">
        <v>#N/A</v>
      </c>
      <c r="AK198" s="4" t="e">
        <v>#N/A</v>
      </c>
      <c r="AL198" s="4" t="e">
        <v>#N/A</v>
      </c>
      <c r="AM198" s="4">
        <v>0</v>
      </c>
      <c r="AN198" s="4">
        <v>0</v>
      </c>
      <c r="AP198" s="4">
        <f>[1]Hist!$X208</f>
        <v>0</v>
      </c>
    </row>
    <row r="199" spans="1:42" x14ac:dyDescent="0.2">
      <c r="A199" s="4">
        <v>198</v>
      </c>
      <c r="B199" s="215">
        <f>[2]Arkusz1!B202</f>
        <v>0</v>
      </c>
      <c r="C199" s="44" t="str">
        <f>_xlfn.CONCAT([2]Arkusz1!G202," ",[2]Arkusz1!H202)</f>
        <v xml:space="preserve"> </v>
      </c>
      <c r="D199" s="4" t="e">
        <f>_xlfn.XLOOKUP(H199,[4]Sheet1!$I$2:$I$40,[4]Sheet1!$Y$2:$Y$40,,2,1)</f>
        <v>#N/A</v>
      </c>
      <c r="E199" s="4" t="e">
        <f>_xlfn.XLOOKUP(H199,[4]Sheet1!$I$2:$I$40,[4]Sheet1!$K$2:$K$40,,2,1)</f>
        <v>#N/A</v>
      </c>
      <c r="F199" s="218" t="e">
        <f>_xlfn.XLOOKUP(H199,[4]Sheet1!$I$2:$I$40,[4]Sheet1!$J$2:$J$40,,2,1)</f>
        <v>#N/A</v>
      </c>
      <c r="G199" s="4">
        <f>[2]Arkusz1!E202</f>
        <v>0</v>
      </c>
      <c r="H199" s="4">
        <f>[2]Arkusz1!J202</f>
        <v>0</v>
      </c>
      <c r="I199" s="213" t="str">
        <f>_xlfn.CONCAT([2]Arkusz1!C202," ",[2]Arkusz1!D202)</f>
        <v xml:space="preserve"> </v>
      </c>
      <c r="J199" s="216">
        <f ca="1">IF(DATEDIF([2]Arkusz1!S202,TODAY(),"Y")&gt;21,0,DATEDIF([2]Arkusz1!S202,TODAY(),"Y"))</f>
        <v>0</v>
      </c>
      <c r="K199" s="4">
        <f>[2]Arkusz1!T202</f>
        <v>0</v>
      </c>
      <c r="L199" s="216">
        <f>[2]Arkusz1!U202</f>
        <v>0</v>
      </c>
      <c r="M199" s="4">
        <f>[2]Arkusz1!P202</f>
        <v>0</v>
      </c>
      <c r="N199" s="4">
        <f>[2]Arkusz1!Q202</f>
        <v>0</v>
      </c>
      <c r="O199" s="4">
        <f>[2]Arkusz1!V202</f>
        <v>0</v>
      </c>
      <c r="P199" s="4">
        <f t="shared" si="5"/>
        <v>176</v>
      </c>
      <c r="Q199" s="4">
        <f>[2]Arkusz1!Y202</f>
        <v>0</v>
      </c>
      <c r="R199" s="4" t="s">
        <v>64</v>
      </c>
      <c r="S199" s="4" t="s">
        <v>64</v>
      </c>
      <c r="T199" s="4">
        <f>[2]Arkusz1!AA202</f>
        <v>0</v>
      </c>
      <c r="U199" s="4" t="str">
        <f>IF([2]Arkusz1!O202=[2]Arkusz1!$O$7,"Z",IF([2]Arkusz1!O202=[2]Arkusz1!$O$15,"Ix3",IF([2]Arkusz1!O202=[2]Arkusz1!$O$20,"Ix1","Ix2")))</f>
        <v>Ix2</v>
      </c>
      <c r="V199" s="4">
        <f>[2]Arkusz1!AM202</f>
        <v>0</v>
      </c>
      <c r="W199" s="4">
        <f>[2]Arkusz1!AB203</f>
        <v>0</v>
      </c>
      <c r="X199" s="4" t="e">
        <f>_xlfn.TEXTBEFORE([2]Arkusz1!AC203," (")</f>
        <v>#N/A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I199" s="4" t="s">
        <v>546</v>
      </c>
      <c r="AJ199" s="4" t="e">
        <v>#N/A</v>
      </c>
      <c r="AK199" s="4" t="e">
        <v>#N/A</v>
      </c>
      <c r="AL199" s="4" t="e">
        <v>#N/A</v>
      </c>
      <c r="AM199" s="4">
        <v>0</v>
      </c>
      <c r="AN199" s="4">
        <v>0</v>
      </c>
      <c r="AP199" s="4">
        <f>[1]Hist!$X209</f>
        <v>0</v>
      </c>
    </row>
    <row r="200" spans="1:42" x14ac:dyDescent="0.2">
      <c r="A200" s="4">
        <v>199</v>
      </c>
      <c r="B200" s="215">
        <f>[2]Arkusz1!B203</f>
        <v>0</v>
      </c>
      <c r="C200" s="44" t="str">
        <f>_xlfn.CONCAT([2]Arkusz1!G203," ",[2]Arkusz1!H203)</f>
        <v xml:space="preserve"> </v>
      </c>
      <c r="D200" s="4" t="e">
        <f>_xlfn.XLOOKUP(H200,[4]Sheet1!$I$2:$I$40,[4]Sheet1!$Y$2:$Y$40,,2,1)</f>
        <v>#N/A</v>
      </c>
      <c r="E200" s="4" t="e">
        <f>_xlfn.XLOOKUP(H200,[4]Sheet1!$I$2:$I$40,[4]Sheet1!$K$2:$K$40,,2,1)</f>
        <v>#N/A</v>
      </c>
      <c r="F200" s="218" t="e">
        <f>_xlfn.XLOOKUP(H200,[4]Sheet1!$I$2:$I$40,[4]Sheet1!$J$2:$J$40,,2,1)</f>
        <v>#N/A</v>
      </c>
      <c r="G200" s="4">
        <f>[2]Arkusz1!E203</f>
        <v>0</v>
      </c>
      <c r="H200" s="4">
        <f>[2]Arkusz1!J203</f>
        <v>0</v>
      </c>
      <c r="I200" s="213" t="str">
        <f>_xlfn.CONCAT([2]Arkusz1!C203," ",[2]Arkusz1!D203)</f>
        <v xml:space="preserve"> </v>
      </c>
      <c r="J200" s="216">
        <f ca="1">IF(DATEDIF([2]Arkusz1!S203,TODAY(),"Y")&gt;21,0,DATEDIF([2]Arkusz1!S203,TODAY(),"Y"))</f>
        <v>0</v>
      </c>
      <c r="K200" s="4">
        <f>[2]Arkusz1!T203</f>
        <v>0</v>
      </c>
      <c r="L200" s="216">
        <f>[2]Arkusz1!U203</f>
        <v>0</v>
      </c>
      <c r="M200" s="4">
        <f>[2]Arkusz1!P203</f>
        <v>0</v>
      </c>
      <c r="N200" s="4">
        <f>[2]Arkusz1!Q203</f>
        <v>0</v>
      </c>
      <c r="O200" s="4">
        <f>[2]Arkusz1!V203</f>
        <v>0</v>
      </c>
      <c r="P200" s="4">
        <f t="shared" si="5"/>
        <v>176</v>
      </c>
      <c r="Q200" s="4">
        <f>[2]Arkusz1!Y203</f>
        <v>0</v>
      </c>
      <c r="R200" s="4" t="s">
        <v>64</v>
      </c>
      <c r="S200" s="4" t="s">
        <v>64</v>
      </c>
      <c r="T200" s="4">
        <f>[2]Arkusz1!AA203</f>
        <v>0</v>
      </c>
      <c r="U200" s="4" t="str">
        <f>IF([2]Arkusz1!O203=[2]Arkusz1!$O$7,"Z",IF([2]Arkusz1!O203=[2]Arkusz1!$O$15,"Ix3",IF([2]Arkusz1!O203=[2]Arkusz1!$O$20,"Ix1","Ix2")))</f>
        <v>Ix2</v>
      </c>
      <c r="V200" s="4">
        <f>[2]Arkusz1!AM203</f>
        <v>0</v>
      </c>
      <c r="W200" s="4">
        <f>[2]Arkusz1!AB204</f>
        <v>0</v>
      </c>
      <c r="X200" s="4" t="e">
        <f>_xlfn.TEXTBEFORE([2]Arkusz1!AC204," (")</f>
        <v>#N/A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I200" s="4" t="s">
        <v>546</v>
      </c>
      <c r="AJ200" s="4" t="e">
        <v>#N/A</v>
      </c>
      <c r="AK200" s="4" t="e">
        <v>#N/A</v>
      </c>
      <c r="AL200" s="4" t="e">
        <v>#N/A</v>
      </c>
      <c r="AM200" s="4">
        <v>0</v>
      </c>
      <c r="AN200" s="4">
        <v>0</v>
      </c>
      <c r="AP200" s="4">
        <f>[1]Hist!$X210</f>
        <v>0</v>
      </c>
    </row>
    <row r="201" spans="1:42" x14ac:dyDescent="0.2">
      <c r="A201" s="4">
        <v>200</v>
      </c>
      <c r="B201" s="215">
        <f>[2]Arkusz1!B204</f>
        <v>0</v>
      </c>
      <c r="C201" s="44" t="str">
        <f>_xlfn.CONCAT([2]Arkusz1!G204," ",[2]Arkusz1!H204)</f>
        <v xml:space="preserve"> </v>
      </c>
      <c r="D201" s="4" t="e">
        <f>_xlfn.XLOOKUP(H201,[4]Sheet1!$I$2:$I$40,[4]Sheet1!$Y$2:$Y$40,,2,1)</f>
        <v>#N/A</v>
      </c>
      <c r="E201" s="4" t="e">
        <f>_xlfn.XLOOKUP(H201,[4]Sheet1!$I$2:$I$40,[4]Sheet1!$K$2:$K$40,,2,1)</f>
        <v>#N/A</v>
      </c>
      <c r="F201" s="218" t="e">
        <f>_xlfn.XLOOKUP(H201,[4]Sheet1!$I$2:$I$40,[4]Sheet1!$J$2:$J$40,,2,1)</f>
        <v>#N/A</v>
      </c>
      <c r="G201" s="4">
        <f>[2]Arkusz1!E204</f>
        <v>0</v>
      </c>
      <c r="H201" s="4">
        <f>[2]Arkusz1!J204</f>
        <v>0</v>
      </c>
      <c r="I201" s="213" t="str">
        <f>_xlfn.CONCAT([2]Arkusz1!C204," ",[2]Arkusz1!D204)</f>
        <v xml:space="preserve"> </v>
      </c>
      <c r="J201" s="216">
        <f ca="1">IF(DATEDIF([2]Arkusz1!S204,TODAY(),"Y")&gt;21,0,DATEDIF([2]Arkusz1!S204,TODAY(),"Y"))</f>
        <v>0</v>
      </c>
      <c r="K201" s="4">
        <f>[2]Arkusz1!T204</f>
        <v>0</v>
      </c>
      <c r="L201" s="216">
        <f>[2]Arkusz1!U204</f>
        <v>0</v>
      </c>
      <c r="M201" s="4">
        <f>[2]Arkusz1!P204</f>
        <v>0</v>
      </c>
      <c r="N201" s="4">
        <f>[2]Arkusz1!Q204</f>
        <v>0</v>
      </c>
      <c r="O201" s="4">
        <f>[2]Arkusz1!V204</f>
        <v>0</v>
      </c>
      <c r="P201" s="4">
        <f t="shared" si="5"/>
        <v>176</v>
      </c>
      <c r="Q201" s="4">
        <f>[2]Arkusz1!Y204</f>
        <v>0</v>
      </c>
      <c r="R201" s="4" t="s">
        <v>64</v>
      </c>
      <c r="S201" s="4" t="s">
        <v>64</v>
      </c>
      <c r="T201" s="4">
        <f>[2]Arkusz1!AA204</f>
        <v>0</v>
      </c>
      <c r="U201" s="4" t="str">
        <f>IF([2]Arkusz1!O204=[2]Arkusz1!$O$7,"Z",IF([2]Arkusz1!O204=[2]Arkusz1!$O$15,"Ix3",IF([2]Arkusz1!O204=[2]Arkusz1!$O$20,"Ix1","Ix2")))</f>
        <v>Ix2</v>
      </c>
      <c r="V201" s="4">
        <f>[2]Arkusz1!AM204</f>
        <v>0</v>
      </c>
      <c r="W201" s="4">
        <f>[2]Arkusz1!AB205</f>
        <v>0</v>
      </c>
      <c r="X201" s="4" t="e">
        <f>_xlfn.TEXTBEFORE([2]Arkusz1!AC205," (")</f>
        <v>#N/A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I201" s="4" t="s">
        <v>546</v>
      </c>
      <c r="AJ201" s="4" t="e">
        <v>#N/A</v>
      </c>
      <c r="AK201" s="4" t="e">
        <v>#N/A</v>
      </c>
      <c r="AL201" s="4" t="e">
        <v>#N/A</v>
      </c>
      <c r="AM201" s="4">
        <v>0</v>
      </c>
      <c r="AN201" s="4">
        <v>0</v>
      </c>
      <c r="AP201" s="4">
        <f>[1]Hist!$X211</f>
        <v>0</v>
      </c>
    </row>
    <row r="202" spans="1:42" x14ac:dyDescent="0.2">
      <c r="A202" s="4">
        <v>201</v>
      </c>
      <c r="B202" s="215">
        <f>[2]Arkusz1!B205</f>
        <v>0</v>
      </c>
      <c r="C202" s="44" t="str">
        <f>_xlfn.CONCAT([2]Arkusz1!G205," ",[2]Arkusz1!H205)</f>
        <v xml:space="preserve"> </v>
      </c>
      <c r="D202" s="4" t="e">
        <f>_xlfn.XLOOKUP(H202,[4]Sheet1!$I$2:$I$40,[4]Sheet1!$Y$2:$Y$40,,2,1)</f>
        <v>#N/A</v>
      </c>
      <c r="E202" s="4" t="e">
        <f>_xlfn.XLOOKUP(H202,[4]Sheet1!$I$2:$I$40,[4]Sheet1!$K$2:$K$40,,2,1)</f>
        <v>#N/A</v>
      </c>
      <c r="F202" s="218" t="e">
        <f>_xlfn.XLOOKUP(H202,[4]Sheet1!$I$2:$I$40,[4]Sheet1!$J$2:$J$40,,2,1)</f>
        <v>#N/A</v>
      </c>
      <c r="G202" s="4">
        <f>[2]Arkusz1!E205</f>
        <v>0</v>
      </c>
      <c r="H202" s="4">
        <f>[2]Arkusz1!J205</f>
        <v>0</v>
      </c>
      <c r="I202" s="213" t="str">
        <f>_xlfn.CONCAT([2]Arkusz1!C205," ",[2]Arkusz1!D205)</f>
        <v xml:space="preserve"> </v>
      </c>
      <c r="J202" s="216">
        <f ca="1">IF(DATEDIF([2]Arkusz1!S205,TODAY(),"Y")&gt;21,0,DATEDIF([2]Arkusz1!S205,TODAY(),"Y"))</f>
        <v>0</v>
      </c>
      <c r="K202" s="4">
        <f>[2]Arkusz1!T205</f>
        <v>0</v>
      </c>
      <c r="L202" s="216">
        <f>[2]Arkusz1!U205</f>
        <v>0</v>
      </c>
      <c r="M202" s="4">
        <f>[2]Arkusz1!P205</f>
        <v>0</v>
      </c>
      <c r="N202" s="4">
        <f>[2]Arkusz1!Q205</f>
        <v>0</v>
      </c>
      <c r="O202" s="4">
        <f>[2]Arkusz1!V205</f>
        <v>0</v>
      </c>
      <c r="P202" s="4">
        <f t="shared" si="5"/>
        <v>176</v>
      </c>
      <c r="Q202" s="4">
        <f>[2]Arkusz1!Y205</f>
        <v>0</v>
      </c>
      <c r="R202" s="4" t="s">
        <v>64</v>
      </c>
      <c r="S202" s="4" t="s">
        <v>64</v>
      </c>
      <c r="T202" s="4">
        <f>[2]Arkusz1!AA205</f>
        <v>0</v>
      </c>
      <c r="U202" s="4" t="str">
        <f>IF([2]Arkusz1!O205=[2]Arkusz1!$O$7,"Z",IF([2]Arkusz1!O205=[2]Arkusz1!$O$15,"Ix3",IF([2]Arkusz1!O205=[2]Arkusz1!$O$20,"Ix1","Ix2")))</f>
        <v>Ix2</v>
      </c>
      <c r="V202" s="4">
        <f>[2]Arkusz1!AM205</f>
        <v>0</v>
      </c>
      <c r="W202" s="4">
        <f>[2]Arkusz1!AB206</f>
        <v>0</v>
      </c>
      <c r="X202" s="4" t="e">
        <f>_xlfn.TEXTBEFORE([2]Arkusz1!AC206," (")</f>
        <v>#N/A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I202" s="4" t="s">
        <v>546</v>
      </c>
      <c r="AJ202" s="4" t="e">
        <v>#N/A</v>
      </c>
      <c r="AK202" s="4" t="e">
        <v>#N/A</v>
      </c>
      <c r="AL202" s="4" t="e">
        <v>#N/A</v>
      </c>
      <c r="AM202" s="4">
        <v>0</v>
      </c>
      <c r="AN202" s="4">
        <v>0</v>
      </c>
      <c r="AP202" s="4">
        <f>[1]Hist!$X212</f>
        <v>0</v>
      </c>
    </row>
    <row r="203" spans="1:42" x14ac:dyDescent="0.2">
      <c r="A203" s="4">
        <v>202</v>
      </c>
      <c r="B203" s="215">
        <f>[2]Arkusz1!B206</f>
        <v>0</v>
      </c>
      <c r="C203" s="44" t="str">
        <f>_xlfn.CONCAT([2]Arkusz1!G206," ",[2]Arkusz1!H206)</f>
        <v xml:space="preserve"> </v>
      </c>
      <c r="D203" s="4" t="e">
        <f>_xlfn.XLOOKUP(H203,[4]Sheet1!$I$2:$I$40,[4]Sheet1!$Y$2:$Y$40,,2,1)</f>
        <v>#N/A</v>
      </c>
      <c r="E203" s="4" t="e">
        <f>_xlfn.XLOOKUP(H203,[4]Sheet1!$I$2:$I$40,[4]Sheet1!$K$2:$K$40,,2,1)</f>
        <v>#N/A</v>
      </c>
      <c r="F203" s="218" t="e">
        <f>_xlfn.XLOOKUP(H203,[4]Sheet1!$I$2:$I$40,[4]Sheet1!$J$2:$J$40,,2,1)</f>
        <v>#N/A</v>
      </c>
      <c r="G203" s="4">
        <f>[2]Arkusz1!E206</f>
        <v>0</v>
      </c>
      <c r="H203" s="4">
        <f>[2]Arkusz1!J206</f>
        <v>0</v>
      </c>
      <c r="I203" s="213" t="str">
        <f>_xlfn.CONCAT([2]Arkusz1!C206," ",[2]Arkusz1!D206)</f>
        <v xml:space="preserve"> </v>
      </c>
      <c r="J203" s="216">
        <f ca="1">IF(DATEDIF([2]Arkusz1!S206,TODAY(),"Y")&gt;21,0,DATEDIF([2]Arkusz1!S206,TODAY(),"Y"))</f>
        <v>0</v>
      </c>
      <c r="K203" s="4">
        <f>[2]Arkusz1!T206</f>
        <v>0</v>
      </c>
      <c r="L203" s="216">
        <f>[2]Arkusz1!U206</f>
        <v>0</v>
      </c>
      <c r="M203" s="4">
        <f>[2]Arkusz1!P206</f>
        <v>0</v>
      </c>
      <c r="N203" s="4">
        <f>[2]Arkusz1!Q206</f>
        <v>0</v>
      </c>
      <c r="O203" s="4">
        <f>[2]Arkusz1!V206</f>
        <v>0</v>
      </c>
      <c r="P203" s="4">
        <f t="shared" si="5"/>
        <v>176</v>
      </c>
      <c r="Q203" s="4">
        <f>[2]Arkusz1!Y206</f>
        <v>0</v>
      </c>
      <c r="R203" s="4" t="s">
        <v>64</v>
      </c>
      <c r="S203" s="4" t="s">
        <v>64</v>
      </c>
      <c r="T203" s="4">
        <f>[2]Arkusz1!AA206</f>
        <v>0</v>
      </c>
      <c r="U203" s="4" t="str">
        <f>IF([2]Arkusz1!O206=[2]Arkusz1!$O$7,"Z",IF([2]Arkusz1!O206=[2]Arkusz1!$O$15,"Ix3",IF([2]Arkusz1!O206=[2]Arkusz1!$O$20,"Ix1","Ix2")))</f>
        <v>Ix2</v>
      </c>
      <c r="V203" s="4">
        <f>[2]Arkusz1!AM206</f>
        <v>0</v>
      </c>
      <c r="W203" s="4">
        <f>[2]Arkusz1!AB207</f>
        <v>0</v>
      </c>
      <c r="X203" s="4" t="e">
        <f>_xlfn.TEXTBEFORE([2]Arkusz1!AC207," (")</f>
        <v>#N/A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I203" s="4" t="s">
        <v>546</v>
      </c>
      <c r="AJ203" s="4" t="e">
        <v>#N/A</v>
      </c>
      <c r="AK203" s="4" t="e">
        <v>#N/A</v>
      </c>
      <c r="AL203" s="4" t="e">
        <v>#N/A</v>
      </c>
      <c r="AM203" s="4">
        <v>0</v>
      </c>
      <c r="AN203" s="4">
        <v>0</v>
      </c>
      <c r="AP203" s="4">
        <f>[1]Hist!$X213</f>
        <v>0</v>
      </c>
    </row>
    <row r="204" spans="1:42" x14ac:dyDescent="0.2">
      <c r="A204" s="4">
        <v>203</v>
      </c>
      <c r="B204" s="215">
        <f>[2]Arkusz1!B207</f>
        <v>0</v>
      </c>
      <c r="C204" s="44" t="str">
        <f>_xlfn.CONCAT([2]Arkusz1!G207," ",[2]Arkusz1!H207)</f>
        <v xml:space="preserve"> </v>
      </c>
      <c r="D204" s="4" t="e">
        <f>_xlfn.XLOOKUP(H204,[4]Sheet1!$I$2:$I$40,[4]Sheet1!$Y$2:$Y$40,,2,1)</f>
        <v>#N/A</v>
      </c>
      <c r="E204" s="4" t="e">
        <f>_xlfn.XLOOKUP(H204,[4]Sheet1!$I$2:$I$40,[4]Sheet1!$K$2:$K$40,,2,1)</f>
        <v>#N/A</v>
      </c>
      <c r="F204" s="218" t="e">
        <f>_xlfn.XLOOKUP(H204,[4]Sheet1!$I$2:$I$40,[4]Sheet1!$J$2:$J$40,,2,1)</f>
        <v>#N/A</v>
      </c>
      <c r="G204" s="4">
        <f>[2]Arkusz1!E207</f>
        <v>0</v>
      </c>
      <c r="H204" s="4">
        <f>[2]Arkusz1!J207</f>
        <v>0</v>
      </c>
      <c r="I204" s="213" t="str">
        <f>_xlfn.CONCAT([2]Arkusz1!C207," ",[2]Arkusz1!D207)</f>
        <v xml:space="preserve"> </v>
      </c>
      <c r="J204" s="216">
        <f ca="1">IF(DATEDIF([2]Arkusz1!S207,TODAY(),"Y")&gt;21,0,DATEDIF([2]Arkusz1!S207,TODAY(),"Y"))</f>
        <v>0</v>
      </c>
      <c r="K204" s="4">
        <f>[2]Arkusz1!T207</f>
        <v>0</v>
      </c>
      <c r="L204" s="216">
        <f>[2]Arkusz1!U207</f>
        <v>0</v>
      </c>
      <c r="M204" s="4">
        <f>[2]Arkusz1!P207</f>
        <v>0</v>
      </c>
      <c r="N204" s="4">
        <f>[2]Arkusz1!Q207</f>
        <v>0</v>
      </c>
      <c r="O204" s="4">
        <f>[2]Arkusz1!V207</f>
        <v>0</v>
      </c>
      <c r="P204" s="4">
        <f t="shared" si="5"/>
        <v>176</v>
      </c>
      <c r="Q204" s="4">
        <f>[2]Arkusz1!Y207</f>
        <v>0</v>
      </c>
      <c r="R204" s="4" t="s">
        <v>64</v>
      </c>
      <c r="S204" s="4" t="s">
        <v>64</v>
      </c>
      <c r="T204" s="4">
        <f>[2]Arkusz1!AA207</f>
        <v>0</v>
      </c>
      <c r="U204" s="4" t="str">
        <f>IF([2]Arkusz1!O207=[2]Arkusz1!$O$7,"Z",IF([2]Arkusz1!O207=[2]Arkusz1!$O$15,"Ix3",IF([2]Arkusz1!O207=[2]Arkusz1!$O$20,"Ix1","Ix2")))</f>
        <v>Ix2</v>
      </c>
      <c r="V204" s="4">
        <f>[2]Arkusz1!AM207</f>
        <v>0</v>
      </c>
      <c r="W204" s="4">
        <f>[2]Arkusz1!AB208</f>
        <v>0</v>
      </c>
      <c r="X204" s="4" t="e">
        <f>_xlfn.TEXTBEFORE([2]Arkusz1!AC208," (")</f>
        <v>#N/A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I204" s="4" t="s">
        <v>546</v>
      </c>
      <c r="AJ204" s="4" t="e">
        <v>#N/A</v>
      </c>
      <c r="AK204" s="4" t="e">
        <v>#N/A</v>
      </c>
      <c r="AL204" s="4" t="e">
        <v>#N/A</v>
      </c>
      <c r="AM204" s="4">
        <v>0</v>
      </c>
      <c r="AN204" s="4">
        <v>0</v>
      </c>
      <c r="AP204" s="4">
        <f>[1]Hist!$X214</f>
        <v>0</v>
      </c>
    </row>
    <row r="205" spans="1:42" x14ac:dyDescent="0.2">
      <c r="A205" s="4">
        <v>204</v>
      </c>
      <c r="B205" s="215">
        <f>[2]Arkusz1!B208</f>
        <v>0</v>
      </c>
      <c r="C205" s="44" t="str">
        <f>_xlfn.CONCAT([2]Arkusz1!G208," ",[2]Arkusz1!H208)</f>
        <v xml:space="preserve"> </v>
      </c>
      <c r="D205" s="4" t="e">
        <f>_xlfn.XLOOKUP(H205,[4]Sheet1!$I$2:$I$40,[4]Sheet1!$Y$2:$Y$40,,2,1)</f>
        <v>#N/A</v>
      </c>
      <c r="E205" s="4" t="e">
        <f>_xlfn.XLOOKUP(H205,[4]Sheet1!$I$2:$I$40,[4]Sheet1!$K$2:$K$40,,2,1)</f>
        <v>#N/A</v>
      </c>
      <c r="F205" s="218" t="e">
        <f>_xlfn.XLOOKUP(H205,[4]Sheet1!$I$2:$I$40,[4]Sheet1!$J$2:$J$40,,2,1)</f>
        <v>#N/A</v>
      </c>
      <c r="G205" s="4">
        <f>[2]Arkusz1!E208</f>
        <v>0</v>
      </c>
      <c r="H205" s="4">
        <f>[2]Arkusz1!J208</f>
        <v>0</v>
      </c>
      <c r="I205" s="213" t="str">
        <f>_xlfn.CONCAT([2]Arkusz1!C208," ",[2]Arkusz1!D208)</f>
        <v xml:space="preserve"> </v>
      </c>
      <c r="J205" s="216">
        <f ca="1">IF(DATEDIF([2]Arkusz1!S208,TODAY(),"Y")&gt;21,0,DATEDIF([2]Arkusz1!S208,TODAY(),"Y"))</f>
        <v>0</v>
      </c>
      <c r="K205" s="4">
        <f>[2]Arkusz1!T208</f>
        <v>0</v>
      </c>
      <c r="L205" s="216">
        <f>[2]Arkusz1!U208</f>
        <v>0</v>
      </c>
      <c r="M205" s="4">
        <f>[2]Arkusz1!P208</f>
        <v>0</v>
      </c>
      <c r="N205" s="4">
        <f>[2]Arkusz1!Q208</f>
        <v>0</v>
      </c>
      <c r="O205" s="4">
        <f>[2]Arkusz1!V208</f>
        <v>0</v>
      </c>
      <c r="P205" s="4">
        <f t="shared" si="5"/>
        <v>176</v>
      </c>
      <c r="Q205" s="4">
        <f>[2]Arkusz1!Y208</f>
        <v>0</v>
      </c>
      <c r="R205" s="4" t="s">
        <v>64</v>
      </c>
      <c r="S205" s="4" t="s">
        <v>64</v>
      </c>
      <c r="T205" s="4">
        <f>[2]Arkusz1!AA208</f>
        <v>0</v>
      </c>
      <c r="U205" s="4" t="str">
        <f>IF([2]Arkusz1!O208=[2]Arkusz1!$O$7,"Z",IF([2]Arkusz1!O208=[2]Arkusz1!$O$15,"Ix3",IF([2]Arkusz1!O208=[2]Arkusz1!$O$20,"Ix1","Ix2")))</f>
        <v>Ix2</v>
      </c>
      <c r="V205" s="4">
        <f>[2]Arkusz1!AM208</f>
        <v>0</v>
      </c>
      <c r="W205" s="4">
        <f>[2]Arkusz1!AB209</f>
        <v>0</v>
      </c>
      <c r="X205" s="4" t="e">
        <f>_xlfn.TEXTBEFORE([2]Arkusz1!AC209," (")</f>
        <v>#N/A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I205" s="4" t="s">
        <v>546</v>
      </c>
      <c r="AJ205" s="4" t="e">
        <v>#N/A</v>
      </c>
      <c r="AK205" s="4" t="e">
        <v>#N/A</v>
      </c>
      <c r="AL205" s="4" t="e">
        <v>#N/A</v>
      </c>
      <c r="AM205" s="4">
        <v>0</v>
      </c>
      <c r="AN205" s="4">
        <v>0</v>
      </c>
      <c r="AP205" s="4">
        <f>[1]Hist!$X215</f>
        <v>0</v>
      </c>
    </row>
    <row r="206" spans="1:42" x14ac:dyDescent="0.2">
      <c r="A206" s="4">
        <v>205</v>
      </c>
      <c r="B206" s="215">
        <f>[2]Arkusz1!B209</f>
        <v>0</v>
      </c>
      <c r="C206" s="44" t="str">
        <f>_xlfn.CONCAT([2]Arkusz1!G209," ",[2]Arkusz1!H209)</f>
        <v xml:space="preserve"> </v>
      </c>
      <c r="D206" s="4" t="e">
        <f>_xlfn.XLOOKUP(H206,[4]Sheet1!$I$2:$I$40,[4]Sheet1!$Y$2:$Y$40,,2,1)</f>
        <v>#N/A</v>
      </c>
      <c r="E206" s="4" t="e">
        <f>_xlfn.XLOOKUP(H206,[4]Sheet1!$I$2:$I$40,[4]Sheet1!$K$2:$K$40,,2,1)</f>
        <v>#N/A</v>
      </c>
      <c r="F206" s="218" t="e">
        <f>_xlfn.XLOOKUP(H206,[4]Sheet1!$I$2:$I$40,[4]Sheet1!$J$2:$J$40,,2,1)</f>
        <v>#N/A</v>
      </c>
      <c r="G206" s="4">
        <f>[2]Arkusz1!E209</f>
        <v>0</v>
      </c>
      <c r="H206" s="4">
        <f>[2]Arkusz1!J209</f>
        <v>0</v>
      </c>
      <c r="I206" s="213" t="str">
        <f>_xlfn.CONCAT([2]Arkusz1!C209," ",[2]Arkusz1!D209)</f>
        <v xml:space="preserve"> </v>
      </c>
      <c r="J206" s="216">
        <f ca="1">IF(DATEDIF([2]Arkusz1!S209,TODAY(),"Y")&gt;21,0,DATEDIF([2]Arkusz1!S209,TODAY(),"Y"))</f>
        <v>0</v>
      </c>
      <c r="K206" s="4">
        <f>[2]Arkusz1!T209</f>
        <v>0</v>
      </c>
      <c r="L206" s="216">
        <f>[2]Arkusz1!U209</f>
        <v>0</v>
      </c>
      <c r="M206" s="4">
        <f>[2]Arkusz1!P209</f>
        <v>0</v>
      </c>
      <c r="N206" s="4">
        <f>[2]Arkusz1!Q209</f>
        <v>0</v>
      </c>
      <c r="O206" s="4">
        <f>[2]Arkusz1!V209</f>
        <v>0</v>
      </c>
      <c r="P206" s="4">
        <f t="shared" si="5"/>
        <v>176</v>
      </c>
      <c r="Q206" s="4">
        <f>[2]Arkusz1!Y209</f>
        <v>0</v>
      </c>
      <c r="R206" s="4" t="s">
        <v>64</v>
      </c>
      <c r="S206" s="4" t="s">
        <v>64</v>
      </c>
      <c r="T206" s="4">
        <f>[2]Arkusz1!AA209</f>
        <v>0</v>
      </c>
      <c r="U206" s="4" t="str">
        <f>IF([2]Arkusz1!O209=[2]Arkusz1!$O$7,"Z",IF([2]Arkusz1!O209=[2]Arkusz1!$O$15,"Ix3",IF([2]Arkusz1!O209=[2]Arkusz1!$O$20,"Ix1","Ix2")))</f>
        <v>Ix2</v>
      </c>
      <c r="V206" s="4">
        <f>[2]Arkusz1!AM209</f>
        <v>0</v>
      </c>
      <c r="W206" s="4">
        <f>[2]Arkusz1!AB210</f>
        <v>0</v>
      </c>
      <c r="X206" s="4" t="e">
        <f>_xlfn.TEXTBEFORE([2]Arkusz1!AC210," (")</f>
        <v>#N/A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I206" s="4" t="s">
        <v>546</v>
      </c>
      <c r="AJ206" s="4" t="e">
        <v>#N/A</v>
      </c>
      <c r="AK206" s="4" t="e">
        <v>#N/A</v>
      </c>
      <c r="AL206" s="4" t="e">
        <v>#N/A</v>
      </c>
      <c r="AM206" s="4">
        <v>0</v>
      </c>
      <c r="AN206" s="4">
        <v>0</v>
      </c>
      <c r="AP206" s="4">
        <f>[1]Hist!$X216</f>
        <v>0</v>
      </c>
    </row>
    <row r="207" spans="1:42" x14ac:dyDescent="0.2">
      <c r="A207" s="4">
        <v>206</v>
      </c>
      <c r="B207" s="215">
        <f>[2]Arkusz1!B210</f>
        <v>0</v>
      </c>
      <c r="C207" s="44" t="str">
        <f>_xlfn.CONCAT([2]Arkusz1!G210," ",[2]Arkusz1!H210)</f>
        <v xml:space="preserve"> </v>
      </c>
      <c r="D207" s="4" t="e">
        <f>_xlfn.XLOOKUP(H207,[4]Sheet1!$I$2:$I$40,[4]Sheet1!$Y$2:$Y$40,,2,1)</f>
        <v>#N/A</v>
      </c>
      <c r="E207" s="4" t="e">
        <f>_xlfn.XLOOKUP(H207,[4]Sheet1!$I$2:$I$40,[4]Sheet1!$K$2:$K$40,,2,1)</f>
        <v>#N/A</v>
      </c>
      <c r="F207" s="218" t="e">
        <f>_xlfn.XLOOKUP(H207,[4]Sheet1!$I$2:$I$40,[4]Sheet1!$J$2:$J$40,,2,1)</f>
        <v>#N/A</v>
      </c>
      <c r="G207" s="4">
        <f>[2]Arkusz1!E210</f>
        <v>0</v>
      </c>
      <c r="H207" s="4">
        <f>[2]Arkusz1!J210</f>
        <v>0</v>
      </c>
      <c r="I207" s="213" t="str">
        <f>_xlfn.CONCAT([2]Arkusz1!C210," ",[2]Arkusz1!D210)</f>
        <v xml:space="preserve"> </v>
      </c>
      <c r="J207" s="216">
        <f ca="1">IF(DATEDIF([2]Arkusz1!S210,TODAY(),"Y")&gt;21,0,DATEDIF([2]Arkusz1!S210,TODAY(),"Y"))</f>
        <v>0</v>
      </c>
      <c r="K207" s="4">
        <f>[2]Arkusz1!T210</f>
        <v>0</v>
      </c>
      <c r="L207" s="216">
        <f>[2]Arkusz1!U210</f>
        <v>0</v>
      </c>
      <c r="M207" s="4">
        <f>[2]Arkusz1!P210</f>
        <v>0</v>
      </c>
      <c r="N207" s="4">
        <f>[2]Arkusz1!Q210</f>
        <v>0</v>
      </c>
      <c r="O207" s="4">
        <f>[2]Arkusz1!V210</f>
        <v>0</v>
      </c>
      <c r="P207" s="4">
        <f t="shared" si="5"/>
        <v>176</v>
      </c>
      <c r="Q207" s="4">
        <f>[2]Arkusz1!Y210</f>
        <v>0</v>
      </c>
      <c r="R207" s="4" t="s">
        <v>64</v>
      </c>
      <c r="S207" s="4" t="s">
        <v>64</v>
      </c>
      <c r="T207" s="4">
        <f>[2]Arkusz1!AA210</f>
        <v>0</v>
      </c>
      <c r="U207" s="4" t="str">
        <f>IF([2]Arkusz1!O210=[2]Arkusz1!$O$7,"Z",IF([2]Arkusz1!O210=[2]Arkusz1!$O$15,"Ix3",IF([2]Arkusz1!O210=[2]Arkusz1!$O$20,"Ix1","Ix2")))</f>
        <v>Ix2</v>
      </c>
      <c r="V207" s="4">
        <f>[2]Arkusz1!AM210</f>
        <v>0</v>
      </c>
      <c r="W207" s="4">
        <f>[2]Arkusz1!AB211</f>
        <v>0</v>
      </c>
      <c r="X207" s="4" t="e">
        <f>_xlfn.TEXTBEFORE([2]Arkusz1!AC211," (")</f>
        <v>#N/A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I207" s="4" t="s">
        <v>546</v>
      </c>
      <c r="AJ207" s="4" t="e">
        <v>#N/A</v>
      </c>
      <c r="AK207" s="4" t="e">
        <v>#N/A</v>
      </c>
      <c r="AL207" s="4" t="e">
        <v>#N/A</v>
      </c>
      <c r="AM207" s="4">
        <v>0</v>
      </c>
      <c r="AN207" s="4">
        <v>0</v>
      </c>
      <c r="AP207" s="4">
        <f>[1]Hist!$X217</f>
        <v>0</v>
      </c>
    </row>
    <row r="208" spans="1:42" x14ac:dyDescent="0.2">
      <c r="A208" s="4">
        <v>207</v>
      </c>
      <c r="B208" s="215">
        <f>[2]Arkusz1!B211</f>
        <v>0</v>
      </c>
      <c r="C208" s="44" t="str">
        <f>_xlfn.CONCAT([2]Arkusz1!G211," ",[2]Arkusz1!H211)</f>
        <v xml:space="preserve"> </v>
      </c>
      <c r="D208" s="4" t="e">
        <f>_xlfn.XLOOKUP(H208,[4]Sheet1!$I$2:$I$40,[4]Sheet1!$Y$2:$Y$40,,2,1)</f>
        <v>#N/A</v>
      </c>
      <c r="E208" s="4" t="e">
        <f>_xlfn.XLOOKUP(H208,[4]Sheet1!$I$2:$I$40,[4]Sheet1!$K$2:$K$40,,2,1)</f>
        <v>#N/A</v>
      </c>
      <c r="F208" s="218" t="e">
        <f>_xlfn.XLOOKUP(H208,[4]Sheet1!$I$2:$I$40,[4]Sheet1!$J$2:$J$40,,2,1)</f>
        <v>#N/A</v>
      </c>
      <c r="G208" s="4">
        <f>[2]Arkusz1!E211</f>
        <v>0</v>
      </c>
      <c r="H208" s="4">
        <f>[2]Arkusz1!J211</f>
        <v>0</v>
      </c>
      <c r="I208" s="213" t="str">
        <f>_xlfn.CONCAT([2]Arkusz1!C211," ",[2]Arkusz1!D211)</f>
        <v xml:space="preserve"> </v>
      </c>
      <c r="J208" s="216">
        <f ca="1">IF(DATEDIF([2]Arkusz1!S211,TODAY(),"Y")&gt;21,0,DATEDIF([2]Arkusz1!S211,TODAY(),"Y"))</f>
        <v>0</v>
      </c>
      <c r="K208" s="4">
        <f>[2]Arkusz1!T211</f>
        <v>0</v>
      </c>
      <c r="L208" s="216">
        <f>[2]Arkusz1!U211</f>
        <v>0</v>
      </c>
      <c r="M208" s="4">
        <f>[2]Arkusz1!P211</f>
        <v>0</v>
      </c>
      <c r="N208" s="4">
        <f>[2]Arkusz1!Q211</f>
        <v>0</v>
      </c>
      <c r="O208" s="4">
        <f>[2]Arkusz1!V211</f>
        <v>0</v>
      </c>
      <c r="P208" s="4">
        <f t="shared" si="5"/>
        <v>176</v>
      </c>
      <c r="Q208" s="4">
        <f>[2]Arkusz1!Y211</f>
        <v>0</v>
      </c>
      <c r="R208" s="4" t="s">
        <v>64</v>
      </c>
      <c r="S208" s="4" t="s">
        <v>64</v>
      </c>
      <c r="T208" s="4">
        <f>[2]Arkusz1!AA211</f>
        <v>0</v>
      </c>
      <c r="U208" s="4" t="str">
        <f>IF([2]Arkusz1!O211=[2]Arkusz1!$O$7,"Z",IF([2]Arkusz1!O211=[2]Arkusz1!$O$15,"Ix3",IF([2]Arkusz1!O211=[2]Arkusz1!$O$20,"Ix1","Ix2")))</f>
        <v>Ix2</v>
      </c>
      <c r="V208" s="4">
        <f>[2]Arkusz1!AM211</f>
        <v>0</v>
      </c>
      <c r="W208" s="4">
        <f>[2]Arkusz1!AB212</f>
        <v>0</v>
      </c>
      <c r="X208" s="4" t="e">
        <f>_xlfn.TEXTBEFORE([2]Arkusz1!AC212," (")</f>
        <v>#N/A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I208" s="4" t="s">
        <v>546</v>
      </c>
      <c r="AJ208" s="4" t="e">
        <v>#N/A</v>
      </c>
      <c r="AK208" s="4" t="e">
        <v>#N/A</v>
      </c>
      <c r="AL208" s="4" t="e">
        <v>#N/A</v>
      </c>
      <c r="AM208" s="4">
        <v>0</v>
      </c>
      <c r="AN208" s="4">
        <v>0</v>
      </c>
      <c r="AP208" s="4">
        <f>[1]Hist!$X218</f>
        <v>0</v>
      </c>
    </row>
    <row r="209" spans="1:42" x14ac:dyDescent="0.2">
      <c r="A209" s="4">
        <v>208</v>
      </c>
      <c r="B209" s="215">
        <f>[2]Arkusz1!B212</f>
        <v>0</v>
      </c>
      <c r="C209" s="44" t="str">
        <f>_xlfn.CONCAT([2]Arkusz1!G212," ",[2]Arkusz1!H212)</f>
        <v xml:space="preserve"> </v>
      </c>
      <c r="D209" s="4" t="e">
        <f>_xlfn.XLOOKUP(H209,[4]Sheet1!$I$2:$I$40,[4]Sheet1!$Y$2:$Y$40,,2,1)</f>
        <v>#N/A</v>
      </c>
      <c r="E209" s="4" t="e">
        <f>_xlfn.XLOOKUP(H209,[4]Sheet1!$I$2:$I$40,[4]Sheet1!$K$2:$K$40,,2,1)</f>
        <v>#N/A</v>
      </c>
      <c r="F209" s="218" t="e">
        <f>_xlfn.XLOOKUP(H209,[4]Sheet1!$I$2:$I$40,[4]Sheet1!$J$2:$J$40,,2,1)</f>
        <v>#N/A</v>
      </c>
      <c r="G209" s="4">
        <f>[2]Arkusz1!E212</f>
        <v>0</v>
      </c>
      <c r="H209" s="4">
        <f>[2]Arkusz1!J212</f>
        <v>0</v>
      </c>
      <c r="I209" s="213" t="str">
        <f>_xlfn.CONCAT([2]Arkusz1!C212," ",[2]Arkusz1!D212)</f>
        <v xml:space="preserve"> </v>
      </c>
      <c r="J209" s="216">
        <f ca="1">IF(DATEDIF([2]Arkusz1!S212,TODAY(),"Y")&gt;21,0,DATEDIF([2]Arkusz1!S212,TODAY(),"Y"))</f>
        <v>0</v>
      </c>
      <c r="K209" s="4">
        <f>[2]Arkusz1!T212</f>
        <v>0</v>
      </c>
      <c r="L209" s="216">
        <f>[2]Arkusz1!U212</f>
        <v>0</v>
      </c>
      <c r="M209" s="4">
        <f>[2]Arkusz1!P212</f>
        <v>0</v>
      </c>
      <c r="N209" s="4">
        <f>[2]Arkusz1!Q212</f>
        <v>0</v>
      </c>
      <c r="O209" s="4">
        <f>[2]Arkusz1!V212</f>
        <v>0</v>
      </c>
      <c r="P209" s="4">
        <f t="shared" si="5"/>
        <v>176</v>
      </c>
      <c r="Q209" s="4">
        <f>[2]Arkusz1!Y212</f>
        <v>0</v>
      </c>
      <c r="R209" s="4" t="s">
        <v>64</v>
      </c>
      <c r="S209" s="4" t="s">
        <v>64</v>
      </c>
      <c r="T209" s="4">
        <f>[2]Arkusz1!AA212</f>
        <v>0</v>
      </c>
      <c r="U209" s="4" t="str">
        <f>IF([2]Arkusz1!O212=[2]Arkusz1!$O$7,"Z",IF([2]Arkusz1!O212=[2]Arkusz1!$O$15,"Ix3",IF([2]Arkusz1!O212=[2]Arkusz1!$O$20,"Ix1","Ix2")))</f>
        <v>Ix2</v>
      </c>
      <c r="V209" s="4">
        <f>[2]Arkusz1!AM212</f>
        <v>0</v>
      </c>
      <c r="W209" s="4">
        <f>[2]Arkusz1!AB213</f>
        <v>0</v>
      </c>
      <c r="X209" s="4" t="e">
        <f>_xlfn.TEXTBEFORE([2]Arkusz1!AC213," (")</f>
        <v>#N/A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I209" s="4" t="s">
        <v>546</v>
      </c>
      <c r="AJ209" s="4" t="e">
        <v>#N/A</v>
      </c>
      <c r="AK209" s="4" t="e">
        <v>#N/A</v>
      </c>
      <c r="AL209" s="4" t="e">
        <v>#N/A</v>
      </c>
      <c r="AM209" s="4">
        <v>0</v>
      </c>
      <c r="AN209" s="4">
        <v>0</v>
      </c>
      <c r="AP209" s="4">
        <f>[1]Hist!$X219</f>
        <v>0</v>
      </c>
    </row>
    <row r="210" spans="1:42" x14ac:dyDescent="0.2">
      <c r="A210" s="4">
        <v>209</v>
      </c>
      <c r="B210" s="215">
        <f>[2]Arkusz1!B213</f>
        <v>0</v>
      </c>
      <c r="C210" s="44" t="str">
        <f>_xlfn.CONCAT([2]Arkusz1!G213," ",[2]Arkusz1!H213)</f>
        <v xml:space="preserve"> </v>
      </c>
      <c r="D210" s="4" t="e">
        <f>_xlfn.XLOOKUP(H210,[4]Sheet1!$I$2:$I$40,[4]Sheet1!$Y$2:$Y$40,,2,1)</f>
        <v>#N/A</v>
      </c>
      <c r="E210" s="4" t="e">
        <f>_xlfn.XLOOKUP(H210,[4]Sheet1!$I$2:$I$40,[4]Sheet1!$K$2:$K$40,,2,1)</f>
        <v>#N/A</v>
      </c>
      <c r="F210" s="218" t="e">
        <f>_xlfn.XLOOKUP(H210,[4]Sheet1!$I$2:$I$40,[4]Sheet1!$J$2:$J$40,,2,1)</f>
        <v>#N/A</v>
      </c>
      <c r="G210" s="4">
        <f>[2]Arkusz1!E213</f>
        <v>0</v>
      </c>
      <c r="H210" s="4">
        <f>[2]Arkusz1!J213</f>
        <v>0</v>
      </c>
      <c r="I210" s="213" t="str">
        <f>_xlfn.CONCAT([2]Arkusz1!C213," ",[2]Arkusz1!D213)</f>
        <v xml:space="preserve"> </v>
      </c>
      <c r="J210" s="216">
        <f ca="1">IF(DATEDIF([2]Arkusz1!S213,TODAY(),"Y")&gt;21,0,DATEDIF([2]Arkusz1!S213,TODAY(),"Y"))</f>
        <v>0</v>
      </c>
      <c r="K210" s="4">
        <f>[2]Arkusz1!T213</f>
        <v>0</v>
      </c>
      <c r="L210" s="216">
        <f>[2]Arkusz1!U213</f>
        <v>0</v>
      </c>
      <c r="M210" s="4">
        <f>[2]Arkusz1!P213</f>
        <v>0</v>
      </c>
      <c r="N210" s="4">
        <f>[2]Arkusz1!Q213</f>
        <v>0</v>
      </c>
      <c r="O210" s="4">
        <f>[2]Arkusz1!V213</f>
        <v>0</v>
      </c>
      <c r="P210" s="4">
        <f t="shared" si="5"/>
        <v>176</v>
      </c>
      <c r="Q210" s="4">
        <f>[2]Arkusz1!Y213</f>
        <v>0</v>
      </c>
      <c r="R210" s="4" t="s">
        <v>64</v>
      </c>
      <c r="S210" s="4" t="s">
        <v>64</v>
      </c>
      <c r="T210" s="4">
        <f>[2]Arkusz1!AA213</f>
        <v>0</v>
      </c>
      <c r="U210" s="4" t="str">
        <f>IF([2]Arkusz1!O213=[2]Arkusz1!$O$7,"Z",IF([2]Arkusz1!O213=[2]Arkusz1!$O$15,"Ix3",IF([2]Arkusz1!O213=[2]Arkusz1!$O$20,"Ix1","Ix2")))</f>
        <v>Ix2</v>
      </c>
      <c r="V210" s="4">
        <f>[2]Arkusz1!AM213</f>
        <v>0</v>
      </c>
      <c r="W210" s="4">
        <f>[2]Arkusz1!AB214</f>
        <v>0</v>
      </c>
      <c r="X210" s="4" t="e">
        <f>_xlfn.TEXTBEFORE([2]Arkusz1!AC214," (")</f>
        <v>#N/A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I210" s="4" t="s">
        <v>546</v>
      </c>
      <c r="AJ210" s="4" t="e">
        <v>#N/A</v>
      </c>
      <c r="AK210" s="4" t="e">
        <v>#N/A</v>
      </c>
      <c r="AL210" s="4" t="e">
        <v>#N/A</v>
      </c>
      <c r="AM210" s="4">
        <v>0</v>
      </c>
      <c r="AN210" s="4">
        <v>0</v>
      </c>
      <c r="AP210" s="4">
        <f>[1]Hist!$X220</f>
        <v>0</v>
      </c>
    </row>
    <row r="211" spans="1:42" x14ac:dyDescent="0.2">
      <c r="A211" s="4">
        <v>210</v>
      </c>
      <c r="B211" s="215">
        <f>[2]Arkusz1!B214</f>
        <v>0</v>
      </c>
      <c r="C211" s="44" t="str">
        <f>_xlfn.CONCAT([2]Arkusz1!G214," ",[2]Arkusz1!H214)</f>
        <v xml:space="preserve"> </v>
      </c>
      <c r="D211" s="4" t="e">
        <f>_xlfn.XLOOKUP(H211,[4]Sheet1!$I$2:$I$40,[4]Sheet1!$Y$2:$Y$40,,2,1)</f>
        <v>#N/A</v>
      </c>
      <c r="E211" s="4" t="e">
        <f>_xlfn.XLOOKUP(H211,[4]Sheet1!$I$2:$I$40,[4]Sheet1!$K$2:$K$40,,2,1)</f>
        <v>#N/A</v>
      </c>
      <c r="F211" s="218" t="e">
        <f>_xlfn.XLOOKUP(H211,[4]Sheet1!$I$2:$I$40,[4]Sheet1!$J$2:$J$40,,2,1)</f>
        <v>#N/A</v>
      </c>
      <c r="G211" s="4">
        <f>[2]Arkusz1!E214</f>
        <v>0</v>
      </c>
      <c r="H211" s="4">
        <f>[2]Arkusz1!J214</f>
        <v>0</v>
      </c>
      <c r="I211" s="213" t="str">
        <f>_xlfn.CONCAT([2]Arkusz1!C214," ",[2]Arkusz1!D214)</f>
        <v xml:space="preserve"> </v>
      </c>
      <c r="J211" s="216">
        <f ca="1">IF(DATEDIF([2]Arkusz1!S214,TODAY(),"Y")&gt;21,0,DATEDIF([2]Arkusz1!S214,TODAY(),"Y"))</f>
        <v>0</v>
      </c>
      <c r="K211" s="4">
        <f>[2]Arkusz1!T214</f>
        <v>0</v>
      </c>
      <c r="L211" s="216">
        <f>[2]Arkusz1!U214</f>
        <v>0</v>
      </c>
      <c r="M211" s="4">
        <f>[2]Arkusz1!P214</f>
        <v>0</v>
      </c>
      <c r="N211" s="4">
        <f>[2]Arkusz1!Q214</f>
        <v>0</v>
      </c>
      <c r="O211" s="4">
        <f>[2]Arkusz1!V214</f>
        <v>0</v>
      </c>
      <c r="P211" s="4">
        <f t="shared" si="5"/>
        <v>176</v>
      </c>
      <c r="Q211" s="4">
        <f>[2]Arkusz1!Y214</f>
        <v>0</v>
      </c>
      <c r="R211" s="4" t="s">
        <v>64</v>
      </c>
      <c r="S211" s="4" t="s">
        <v>64</v>
      </c>
      <c r="T211" s="4">
        <f>[2]Arkusz1!AA214</f>
        <v>0</v>
      </c>
      <c r="U211" s="4" t="str">
        <f>IF([2]Arkusz1!O214=[2]Arkusz1!$O$7,"Z",IF([2]Arkusz1!O214=[2]Arkusz1!$O$15,"Ix3",IF([2]Arkusz1!O214=[2]Arkusz1!$O$20,"Ix1","Ix2")))</f>
        <v>Ix2</v>
      </c>
      <c r="V211" s="4">
        <f>[2]Arkusz1!AM214</f>
        <v>0</v>
      </c>
      <c r="W211" s="4">
        <f>[2]Arkusz1!AB215</f>
        <v>0</v>
      </c>
      <c r="X211" s="4" t="e">
        <f>_xlfn.TEXTBEFORE([2]Arkusz1!AC215," (")</f>
        <v>#N/A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I211" s="4" t="s">
        <v>546</v>
      </c>
      <c r="AJ211" s="4" t="e">
        <v>#N/A</v>
      </c>
      <c r="AK211" s="4" t="e">
        <v>#N/A</v>
      </c>
      <c r="AL211" s="4" t="e">
        <v>#N/A</v>
      </c>
      <c r="AM211" s="4">
        <v>0</v>
      </c>
      <c r="AN211" s="4">
        <v>0</v>
      </c>
      <c r="AP211" s="4">
        <f>[1]Hist!$X221</f>
        <v>0</v>
      </c>
    </row>
    <row r="212" spans="1:42" x14ac:dyDescent="0.2">
      <c r="A212" s="4">
        <v>211</v>
      </c>
      <c r="B212" s="215">
        <f>[2]Arkusz1!B215</f>
        <v>0</v>
      </c>
      <c r="C212" s="44" t="str">
        <f>_xlfn.CONCAT([2]Arkusz1!G215," ",[2]Arkusz1!H215)</f>
        <v xml:space="preserve"> </v>
      </c>
      <c r="D212" s="4" t="e">
        <f>_xlfn.XLOOKUP(H212,[4]Sheet1!$I$2:$I$40,[4]Sheet1!$Y$2:$Y$40,,2,1)</f>
        <v>#N/A</v>
      </c>
      <c r="E212" s="4" t="e">
        <f>_xlfn.XLOOKUP(H212,[4]Sheet1!$I$2:$I$40,[4]Sheet1!$K$2:$K$40,,2,1)</f>
        <v>#N/A</v>
      </c>
      <c r="F212" s="218" t="e">
        <f>_xlfn.XLOOKUP(H212,[4]Sheet1!$I$2:$I$40,[4]Sheet1!$J$2:$J$40,,2,1)</f>
        <v>#N/A</v>
      </c>
      <c r="G212" s="4">
        <f>[2]Arkusz1!E215</f>
        <v>0</v>
      </c>
      <c r="H212" s="4">
        <f>[2]Arkusz1!J215</f>
        <v>0</v>
      </c>
      <c r="I212" s="213" t="str">
        <f>_xlfn.CONCAT([2]Arkusz1!C215," ",[2]Arkusz1!D215)</f>
        <v xml:space="preserve"> </v>
      </c>
      <c r="J212" s="216">
        <f ca="1">IF(DATEDIF([2]Arkusz1!S215,TODAY(),"Y")&gt;21,0,DATEDIF([2]Arkusz1!S215,TODAY(),"Y"))</f>
        <v>0</v>
      </c>
      <c r="K212" s="4">
        <f>[2]Arkusz1!T215</f>
        <v>0</v>
      </c>
      <c r="L212" s="216">
        <f>[2]Arkusz1!U215</f>
        <v>0</v>
      </c>
      <c r="M212" s="4">
        <f>[2]Arkusz1!P215</f>
        <v>0</v>
      </c>
      <c r="N212" s="4">
        <f>[2]Arkusz1!Q215</f>
        <v>0</v>
      </c>
      <c r="O212" s="4">
        <f>[2]Arkusz1!V215</f>
        <v>0</v>
      </c>
      <c r="P212" s="4">
        <f t="shared" si="5"/>
        <v>176</v>
      </c>
      <c r="Q212" s="4">
        <f>[2]Arkusz1!Y215</f>
        <v>0</v>
      </c>
      <c r="R212" s="4" t="s">
        <v>64</v>
      </c>
      <c r="S212" s="4" t="s">
        <v>64</v>
      </c>
      <c r="T212" s="4">
        <f>[2]Arkusz1!AA215</f>
        <v>0</v>
      </c>
      <c r="U212" s="4" t="str">
        <f>IF([2]Arkusz1!O215=[2]Arkusz1!$O$7,"Z",IF([2]Arkusz1!O215=[2]Arkusz1!$O$15,"Ix3",IF([2]Arkusz1!O215=[2]Arkusz1!$O$20,"Ix1","Ix2")))</f>
        <v>Ix2</v>
      </c>
      <c r="V212" s="4">
        <f>[2]Arkusz1!AM215</f>
        <v>0</v>
      </c>
      <c r="W212" s="4">
        <f>[2]Arkusz1!AB216</f>
        <v>0</v>
      </c>
      <c r="X212" s="4" t="e">
        <f>_xlfn.TEXTBEFORE([2]Arkusz1!AC216," (")</f>
        <v>#N/A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I212" s="4" t="s">
        <v>546</v>
      </c>
      <c r="AJ212" s="4" t="e">
        <v>#N/A</v>
      </c>
      <c r="AK212" s="4" t="e">
        <v>#N/A</v>
      </c>
      <c r="AL212" s="4" t="e">
        <v>#N/A</v>
      </c>
      <c r="AM212" s="4">
        <v>0</v>
      </c>
      <c r="AN212" s="4">
        <v>0</v>
      </c>
      <c r="AP212" s="4">
        <f>[1]Hist!$X222</f>
        <v>0</v>
      </c>
    </row>
    <row r="213" spans="1:42" x14ac:dyDescent="0.2">
      <c r="A213" s="4">
        <v>212</v>
      </c>
      <c r="B213" s="215">
        <f>[2]Arkusz1!B216</f>
        <v>0</v>
      </c>
      <c r="C213" s="44" t="str">
        <f>_xlfn.CONCAT([2]Arkusz1!G216," ",[2]Arkusz1!H216)</f>
        <v xml:space="preserve"> </v>
      </c>
      <c r="D213" s="4" t="e">
        <f>_xlfn.XLOOKUP(H213,[4]Sheet1!$I$2:$I$40,[4]Sheet1!$Y$2:$Y$40,,2,1)</f>
        <v>#N/A</v>
      </c>
      <c r="E213" s="4" t="e">
        <f>_xlfn.XLOOKUP(H213,[4]Sheet1!$I$2:$I$40,[4]Sheet1!$K$2:$K$40,,2,1)</f>
        <v>#N/A</v>
      </c>
      <c r="F213" s="218" t="e">
        <f>_xlfn.XLOOKUP(H213,[4]Sheet1!$I$2:$I$40,[4]Sheet1!$J$2:$J$40,,2,1)</f>
        <v>#N/A</v>
      </c>
      <c r="G213" s="4">
        <f>[2]Arkusz1!E216</f>
        <v>0</v>
      </c>
      <c r="H213" s="4">
        <f>[2]Arkusz1!J216</f>
        <v>0</v>
      </c>
      <c r="I213" s="213" t="str">
        <f>_xlfn.CONCAT([2]Arkusz1!C216," ",[2]Arkusz1!D216)</f>
        <v xml:space="preserve"> </v>
      </c>
      <c r="J213" s="216">
        <f ca="1">IF(DATEDIF([2]Arkusz1!S216,TODAY(),"Y")&gt;21,0,DATEDIF([2]Arkusz1!S216,TODAY(),"Y"))</f>
        <v>0</v>
      </c>
      <c r="K213" s="4">
        <f>[2]Arkusz1!T216</f>
        <v>0</v>
      </c>
      <c r="L213" s="216">
        <f>[2]Arkusz1!U216</f>
        <v>0</v>
      </c>
      <c r="M213" s="4">
        <f>[2]Arkusz1!P216</f>
        <v>0</v>
      </c>
      <c r="N213" s="4">
        <f>[2]Arkusz1!Q216</f>
        <v>0</v>
      </c>
      <c r="O213" s="4">
        <f>[2]Arkusz1!V216</f>
        <v>0</v>
      </c>
      <c r="P213" s="4">
        <f t="shared" si="5"/>
        <v>176</v>
      </c>
      <c r="Q213" s="4">
        <f>[2]Arkusz1!Y216</f>
        <v>0</v>
      </c>
      <c r="R213" s="4" t="s">
        <v>64</v>
      </c>
      <c r="S213" s="4" t="s">
        <v>64</v>
      </c>
      <c r="T213" s="4">
        <f>[2]Arkusz1!AA216</f>
        <v>0</v>
      </c>
      <c r="U213" s="4" t="str">
        <f>IF([2]Arkusz1!O216=[2]Arkusz1!$O$7,"Z",IF([2]Arkusz1!O216=[2]Arkusz1!$O$15,"Ix3",IF([2]Arkusz1!O216=[2]Arkusz1!$O$20,"Ix1","Ix2")))</f>
        <v>Ix2</v>
      </c>
      <c r="V213" s="4">
        <f>[2]Arkusz1!AM216</f>
        <v>0</v>
      </c>
      <c r="W213" s="4">
        <f>[2]Arkusz1!AB217</f>
        <v>0</v>
      </c>
      <c r="X213" s="4" t="e">
        <f>_xlfn.TEXTBEFORE([2]Arkusz1!AC217," (")</f>
        <v>#N/A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I213" s="4" t="s">
        <v>546</v>
      </c>
      <c r="AJ213" s="4" t="e">
        <v>#N/A</v>
      </c>
      <c r="AK213" s="4" t="e">
        <v>#N/A</v>
      </c>
      <c r="AL213" s="4" t="e">
        <v>#N/A</v>
      </c>
      <c r="AM213" s="4">
        <v>0</v>
      </c>
      <c r="AN213" s="4">
        <v>0</v>
      </c>
      <c r="AP213" s="4">
        <f>[1]Hist!$X223</f>
        <v>0</v>
      </c>
    </row>
    <row r="214" spans="1:42" x14ac:dyDescent="0.2">
      <c r="A214" s="4">
        <v>213</v>
      </c>
      <c r="B214" s="215">
        <f>[2]Arkusz1!B217</f>
        <v>0</v>
      </c>
      <c r="C214" s="44" t="str">
        <f>_xlfn.CONCAT([2]Arkusz1!G217," ",[2]Arkusz1!H217)</f>
        <v xml:space="preserve"> </v>
      </c>
      <c r="D214" s="4" t="e">
        <f>_xlfn.XLOOKUP(H214,[4]Sheet1!$I$2:$I$40,[4]Sheet1!$Y$2:$Y$40,,2,1)</f>
        <v>#N/A</v>
      </c>
      <c r="E214" s="4" t="e">
        <f>_xlfn.XLOOKUP(H214,[4]Sheet1!$I$2:$I$40,[4]Sheet1!$K$2:$K$40,,2,1)</f>
        <v>#N/A</v>
      </c>
      <c r="F214" s="218" t="e">
        <f>_xlfn.XLOOKUP(H214,[4]Sheet1!$I$2:$I$40,[4]Sheet1!$J$2:$J$40,,2,1)</f>
        <v>#N/A</v>
      </c>
      <c r="G214" s="4">
        <f>[2]Arkusz1!E217</f>
        <v>0</v>
      </c>
      <c r="H214" s="4">
        <f>[2]Arkusz1!J217</f>
        <v>0</v>
      </c>
      <c r="I214" s="213" t="str">
        <f>_xlfn.CONCAT([2]Arkusz1!C217," ",[2]Arkusz1!D217)</f>
        <v xml:space="preserve"> </v>
      </c>
      <c r="J214" s="216">
        <f ca="1">IF(DATEDIF([2]Arkusz1!S217,TODAY(),"Y")&gt;21,0,DATEDIF([2]Arkusz1!S217,TODAY(),"Y"))</f>
        <v>0</v>
      </c>
      <c r="K214" s="4">
        <f>[2]Arkusz1!T217</f>
        <v>0</v>
      </c>
      <c r="L214" s="216">
        <f>[2]Arkusz1!U217</f>
        <v>0</v>
      </c>
      <c r="M214" s="4">
        <f>[2]Arkusz1!P217</f>
        <v>0</v>
      </c>
      <c r="N214" s="4">
        <f>[2]Arkusz1!Q217</f>
        <v>0</v>
      </c>
      <c r="O214" s="4">
        <f>[2]Arkusz1!V217</f>
        <v>0</v>
      </c>
      <c r="P214" s="4">
        <f t="shared" si="5"/>
        <v>176</v>
      </c>
      <c r="Q214" s="4">
        <f>[2]Arkusz1!Y217</f>
        <v>0</v>
      </c>
      <c r="R214" s="4" t="s">
        <v>64</v>
      </c>
      <c r="S214" s="4" t="s">
        <v>64</v>
      </c>
      <c r="T214" s="4">
        <f>[2]Arkusz1!AA217</f>
        <v>0</v>
      </c>
      <c r="U214" s="4" t="str">
        <f>IF([2]Arkusz1!O217=[2]Arkusz1!$O$7,"Z",IF([2]Arkusz1!O217=[2]Arkusz1!$O$15,"Ix3",IF([2]Arkusz1!O217=[2]Arkusz1!$O$20,"Ix1","Ix2")))</f>
        <v>Ix2</v>
      </c>
      <c r="V214" s="4">
        <f>[2]Arkusz1!AM217</f>
        <v>0</v>
      </c>
      <c r="W214" s="4">
        <f>[2]Arkusz1!AB218</f>
        <v>0</v>
      </c>
      <c r="X214" s="4" t="e">
        <f>_xlfn.TEXTBEFORE([2]Arkusz1!AC218," (")</f>
        <v>#N/A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I214" s="4" t="s">
        <v>546</v>
      </c>
      <c r="AJ214" s="4" t="e">
        <v>#N/A</v>
      </c>
      <c r="AK214" s="4" t="e">
        <v>#N/A</v>
      </c>
      <c r="AL214" s="4" t="e">
        <v>#N/A</v>
      </c>
      <c r="AM214" s="4">
        <v>0</v>
      </c>
      <c r="AN214" s="4">
        <v>0</v>
      </c>
      <c r="AP214" s="4">
        <f>[1]Hist!$X224</f>
        <v>0</v>
      </c>
    </row>
    <row r="215" spans="1:42" x14ac:dyDescent="0.2">
      <c r="A215" s="4">
        <v>214</v>
      </c>
      <c r="B215" s="215">
        <f>[2]Arkusz1!B218</f>
        <v>0</v>
      </c>
      <c r="C215" s="44" t="str">
        <f>_xlfn.CONCAT([2]Arkusz1!G218," ",[2]Arkusz1!H218)</f>
        <v xml:space="preserve"> </v>
      </c>
      <c r="D215" s="4" t="e">
        <f>_xlfn.XLOOKUP(H215,[4]Sheet1!$I$2:$I$40,[4]Sheet1!$Y$2:$Y$40,,2,1)</f>
        <v>#N/A</v>
      </c>
      <c r="E215" s="4" t="e">
        <f>_xlfn.XLOOKUP(H215,[4]Sheet1!$I$2:$I$40,[4]Sheet1!$K$2:$K$40,,2,1)</f>
        <v>#N/A</v>
      </c>
      <c r="F215" s="218" t="e">
        <f>_xlfn.XLOOKUP(H215,[4]Sheet1!$I$2:$I$40,[4]Sheet1!$J$2:$J$40,,2,1)</f>
        <v>#N/A</v>
      </c>
      <c r="G215" s="4">
        <f>[2]Arkusz1!E218</f>
        <v>0</v>
      </c>
      <c r="H215" s="4">
        <f>[2]Arkusz1!J218</f>
        <v>0</v>
      </c>
      <c r="I215" s="213" t="str">
        <f>_xlfn.CONCAT([2]Arkusz1!C218," ",[2]Arkusz1!D218)</f>
        <v xml:space="preserve"> </v>
      </c>
      <c r="J215" s="216">
        <f ca="1">IF(DATEDIF([2]Arkusz1!S218,TODAY(),"Y")&gt;21,0,DATEDIF([2]Arkusz1!S218,TODAY(),"Y"))</f>
        <v>0</v>
      </c>
      <c r="K215" s="4">
        <f>[2]Arkusz1!T218</f>
        <v>0</v>
      </c>
      <c r="L215" s="216">
        <f>[2]Arkusz1!U218</f>
        <v>0</v>
      </c>
      <c r="M215" s="4">
        <f>[2]Arkusz1!P218</f>
        <v>0</v>
      </c>
      <c r="N215" s="4">
        <f>[2]Arkusz1!Q218</f>
        <v>0</v>
      </c>
      <c r="O215" s="4">
        <f>[2]Arkusz1!V218</f>
        <v>0</v>
      </c>
      <c r="P215" s="4">
        <f t="shared" si="5"/>
        <v>176</v>
      </c>
      <c r="Q215" s="4">
        <f>[2]Arkusz1!Y218</f>
        <v>0</v>
      </c>
      <c r="R215" s="4" t="s">
        <v>64</v>
      </c>
      <c r="S215" s="4" t="s">
        <v>64</v>
      </c>
      <c r="T215" s="4">
        <f>[2]Arkusz1!AA218</f>
        <v>0</v>
      </c>
      <c r="U215" s="4" t="str">
        <f>IF([2]Arkusz1!O218=[2]Arkusz1!$O$7,"Z",IF([2]Arkusz1!O218=[2]Arkusz1!$O$15,"Ix3",IF([2]Arkusz1!O218=[2]Arkusz1!$O$20,"Ix1","Ix2")))</f>
        <v>Ix2</v>
      </c>
      <c r="V215" s="4">
        <f>[2]Arkusz1!AM218</f>
        <v>0</v>
      </c>
      <c r="W215" s="4">
        <f>[2]Arkusz1!AB219</f>
        <v>0</v>
      </c>
      <c r="X215" s="4" t="e">
        <f>_xlfn.TEXTBEFORE([2]Arkusz1!AC219," (")</f>
        <v>#N/A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I215" s="4" t="s">
        <v>546</v>
      </c>
      <c r="AJ215" s="4" t="e">
        <v>#N/A</v>
      </c>
      <c r="AK215" s="4" t="e">
        <v>#N/A</v>
      </c>
      <c r="AL215" s="4" t="e">
        <v>#N/A</v>
      </c>
      <c r="AM215" s="4">
        <v>0</v>
      </c>
      <c r="AN215" s="4">
        <v>0</v>
      </c>
      <c r="AP215" s="4">
        <f>[1]Hist!$X225</f>
        <v>0</v>
      </c>
    </row>
    <row r="216" spans="1:42" x14ac:dyDescent="0.2">
      <c r="A216" s="4">
        <v>215</v>
      </c>
      <c r="B216" s="215">
        <f>[2]Arkusz1!B219</f>
        <v>0</v>
      </c>
      <c r="C216" s="44" t="str">
        <f>_xlfn.CONCAT([2]Arkusz1!G219," ",[2]Arkusz1!H219)</f>
        <v xml:space="preserve"> </v>
      </c>
      <c r="D216" s="4" t="e">
        <f>_xlfn.XLOOKUP(H216,[4]Sheet1!$I$2:$I$40,[4]Sheet1!$Y$2:$Y$40,,2,1)</f>
        <v>#N/A</v>
      </c>
      <c r="E216" s="4" t="e">
        <f>_xlfn.XLOOKUP(H216,[4]Sheet1!$I$2:$I$40,[4]Sheet1!$K$2:$K$40,,2,1)</f>
        <v>#N/A</v>
      </c>
      <c r="F216" s="218" t="e">
        <f>_xlfn.XLOOKUP(H216,[4]Sheet1!$I$2:$I$40,[4]Sheet1!$J$2:$J$40,,2,1)</f>
        <v>#N/A</v>
      </c>
      <c r="G216" s="4">
        <f>[2]Arkusz1!E219</f>
        <v>0</v>
      </c>
      <c r="H216" s="4">
        <f>[2]Arkusz1!J219</f>
        <v>0</v>
      </c>
      <c r="I216" s="213" t="str">
        <f>_xlfn.CONCAT([2]Arkusz1!C219," ",[2]Arkusz1!D219)</f>
        <v xml:space="preserve"> </v>
      </c>
      <c r="J216" s="216">
        <f ca="1">IF(DATEDIF([2]Arkusz1!S219,TODAY(),"Y")&gt;21,0,DATEDIF([2]Arkusz1!S219,TODAY(),"Y"))</f>
        <v>0</v>
      </c>
      <c r="K216" s="4">
        <f>[2]Arkusz1!T219</f>
        <v>0</v>
      </c>
      <c r="L216" s="216">
        <f>[2]Arkusz1!U219</f>
        <v>0</v>
      </c>
      <c r="M216" s="4">
        <f>[2]Arkusz1!P219</f>
        <v>0</v>
      </c>
      <c r="N216" s="4">
        <f>[2]Arkusz1!Q219</f>
        <v>0</v>
      </c>
      <c r="O216" s="4">
        <f>[2]Arkusz1!V219</f>
        <v>0</v>
      </c>
      <c r="P216" s="4">
        <f t="shared" si="5"/>
        <v>176</v>
      </c>
      <c r="Q216" s="4">
        <f>[2]Arkusz1!Y219</f>
        <v>0</v>
      </c>
      <c r="R216" s="4" t="s">
        <v>64</v>
      </c>
      <c r="S216" s="4" t="s">
        <v>64</v>
      </c>
      <c r="T216" s="4">
        <f>[2]Arkusz1!AA219</f>
        <v>0</v>
      </c>
      <c r="U216" s="4" t="str">
        <f>IF([2]Arkusz1!O219=[2]Arkusz1!$O$7,"Z",IF([2]Arkusz1!O219=[2]Arkusz1!$O$15,"Ix3",IF([2]Arkusz1!O219=[2]Arkusz1!$O$20,"Ix1","Ix2")))</f>
        <v>Ix2</v>
      </c>
      <c r="V216" s="4">
        <f>[2]Arkusz1!AM219</f>
        <v>0</v>
      </c>
      <c r="W216" s="4">
        <f>[2]Arkusz1!AB220</f>
        <v>0</v>
      </c>
      <c r="X216" s="4" t="e">
        <f>_xlfn.TEXTBEFORE([2]Arkusz1!AC220," (")</f>
        <v>#N/A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I216" s="4" t="s">
        <v>546</v>
      </c>
      <c r="AJ216" s="4" t="e">
        <v>#N/A</v>
      </c>
      <c r="AK216" s="4" t="e">
        <v>#N/A</v>
      </c>
      <c r="AL216" s="4" t="e">
        <v>#N/A</v>
      </c>
      <c r="AM216" s="4">
        <v>0</v>
      </c>
      <c r="AN216" s="4">
        <v>0</v>
      </c>
      <c r="AP216" s="4">
        <f>[1]Hist!$X226</f>
        <v>0</v>
      </c>
    </row>
    <row r="217" spans="1:42" x14ac:dyDescent="0.2">
      <c r="A217" s="4">
        <v>216</v>
      </c>
      <c r="B217" s="215">
        <f>[2]Arkusz1!B220</f>
        <v>0</v>
      </c>
      <c r="C217" s="44" t="str">
        <f>_xlfn.CONCAT([2]Arkusz1!G220," ",[2]Arkusz1!H220)</f>
        <v xml:space="preserve"> </v>
      </c>
      <c r="D217" s="4" t="e">
        <f>_xlfn.XLOOKUP(H217,[4]Sheet1!$I$2:$I$40,[4]Sheet1!$Y$2:$Y$40,,2,1)</f>
        <v>#N/A</v>
      </c>
      <c r="E217" s="4" t="e">
        <f>_xlfn.XLOOKUP(H217,[4]Sheet1!$I$2:$I$40,[4]Sheet1!$K$2:$K$40,,2,1)</f>
        <v>#N/A</v>
      </c>
      <c r="F217" s="218" t="e">
        <f>_xlfn.XLOOKUP(H217,[4]Sheet1!$I$2:$I$40,[4]Sheet1!$J$2:$J$40,,2,1)</f>
        <v>#N/A</v>
      </c>
      <c r="G217" s="4">
        <f>[2]Arkusz1!E220</f>
        <v>0</v>
      </c>
      <c r="H217" s="4">
        <f>[2]Arkusz1!J220</f>
        <v>0</v>
      </c>
      <c r="I217" s="213" t="str">
        <f>_xlfn.CONCAT([2]Arkusz1!C220," ",[2]Arkusz1!D220)</f>
        <v xml:space="preserve"> </v>
      </c>
      <c r="J217" s="216">
        <f ca="1">IF(DATEDIF([2]Arkusz1!S220,TODAY(),"Y")&gt;21,0,DATEDIF([2]Arkusz1!S220,TODAY(),"Y"))</f>
        <v>0</v>
      </c>
      <c r="K217" s="4">
        <f>[2]Arkusz1!T220</f>
        <v>0</v>
      </c>
      <c r="L217" s="216">
        <f>[2]Arkusz1!U220</f>
        <v>0</v>
      </c>
      <c r="M217" s="4">
        <f>[2]Arkusz1!P220</f>
        <v>0</v>
      </c>
      <c r="N217" s="4">
        <f>[2]Arkusz1!Q220</f>
        <v>0</v>
      </c>
      <c r="O217" s="4">
        <f>[2]Arkusz1!V220</f>
        <v>0</v>
      </c>
      <c r="P217" s="4">
        <f t="shared" si="5"/>
        <v>176</v>
      </c>
      <c r="Q217" s="4">
        <f>[2]Arkusz1!Y220</f>
        <v>0</v>
      </c>
      <c r="R217" s="4" t="s">
        <v>64</v>
      </c>
      <c r="S217" s="4" t="s">
        <v>64</v>
      </c>
      <c r="T217" s="4">
        <f>[2]Arkusz1!AA220</f>
        <v>0</v>
      </c>
      <c r="U217" s="4" t="str">
        <f>IF([2]Arkusz1!O220=[2]Arkusz1!$O$7,"Z",IF([2]Arkusz1!O220=[2]Arkusz1!$O$15,"Ix3",IF([2]Arkusz1!O220=[2]Arkusz1!$O$20,"Ix1","Ix2")))</f>
        <v>Ix2</v>
      </c>
      <c r="V217" s="4">
        <f>[2]Arkusz1!AM220</f>
        <v>0</v>
      </c>
      <c r="W217" s="4">
        <f>[2]Arkusz1!AB221</f>
        <v>0</v>
      </c>
      <c r="X217" s="4" t="e">
        <f>_xlfn.TEXTBEFORE([2]Arkusz1!AC221," (")</f>
        <v>#N/A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I217" s="4" t="s">
        <v>546</v>
      </c>
      <c r="AJ217" s="4" t="e">
        <v>#N/A</v>
      </c>
      <c r="AK217" s="4" t="e">
        <v>#N/A</v>
      </c>
      <c r="AL217" s="4" t="e">
        <v>#N/A</v>
      </c>
      <c r="AM217" s="4">
        <v>0</v>
      </c>
      <c r="AN217" s="4">
        <v>0</v>
      </c>
      <c r="AP217" s="4">
        <f>[1]Hist!$X227</f>
        <v>0</v>
      </c>
    </row>
    <row r="218" spans="1:42" x14ac:dyDescent="0.2">
      <c r="A218" s="4">
        <v>217</v>
      </c>
      <c r="B218" s="215">
        <f>[2]Arkusz1!B221</f>
        <v>0</v>
      </c>
      <c r="C218" s="44" t="str">
        <f>_xlfn.CONCAT([2]Arkusz1!G221," ",[2]Arkusz1!H221)</f>
        <v xml:space="preserve"> </v>
      </c>
      <c r="D218" s="4" t="e">
        <f>_xlfn.XLOOKUP(H218,[4]Sheet1!$I$2:$I$40,[4]Sheet1!$Y$2:$Y$40,,2,1)</f>
        <v>#N/A</v>
      </c>
      <c r="E218" s="4" t="e">
        <f>_xlfn.XLOOKUP(H218,[4]Sheet1!$I$2:$I$40,[4]Sheet1!$K$2:$K$40,,2,1)</f>
        <v>#N/A</v>
      </c>
      <c r="F218" s="218" t="e">
        <f>_xlfn.XLOOKUP(H218,[4]Sheet1!$I$2:$I$40,[4]Sheet1!$J$2:$J$40,,2,1)</f>
        <v>#N/A</v>
      </c>
      <c r="G218" s="4">
        <f>[2]Arkusz1!E221</f>
        <v>0</v>
      </c>
      <c r="H218" s="4">
        <f>[2]Arkusz1!J221</f>
        <v>0</v>
      </c>
      <c r="I218" s="213" t="str">
        <f>_xlfn.CONCAT([2]Arkusz1!C221," ",[2]Arkusz1!D221)</f>
        <v xml:space="preserve"> </v>
      </c>
      <c r="J218" s="216">
        <f ca="1">IF(DATEDIF([2]Arkusz1!S221,TODAY(),"Y")&gt;21,0,DATEDIF([2]Arkusz1!S221,TODAY(),"Y"))</f>
        <v>0</v>
      </c>
      <c r="K218" s="4">
        <f>[2]Arkusz1!T221</f>
        <v>0</v>
      </c>
      <c r="L218" s="216">
        <f>[2]Arkusz1!U221</f>
        <v>0</v>
      </c>
      <c r="M218" s="4">
        <f>[2]Arkusz1!P221</f>
        <v>0</v>
      </c>
      <c r="N218" s="4">
        <f>[2]Arkusz1!Q221</f>
        <v>0</v>
      </c>
      <c r="O218" s="4">
        <f>[2]Arkusz1!V221</f>
        <v>0</v>
      </c>
      <c r="P218" s="4">
        <f t="shared" si="5"/>
        <v>176</v>
      </c>
      <c r="Q218" s="4">
        <f>[2]Arkusz1!Y221</f>
        <v>0</v>
      </c>
      <c r="R218" s="4" t="s">
        <v>64</v>
      </c>
      <c r="S218" s="4" t="s">
        <v>64</v>
      </c>
      <c r="T218" s="4">
        <f>[2]Arkusz1!AA221</f>
        <v>0</v>
      </c>
      <c r="U218" s="4" t="str">
        <f>IF([2]Arkusz1!O221=[2]Arkusz1!$O$7,"Z",IF([2]Arkusz1!O221=[2]Arkusz1!$O$15,"Ix3",IF([2]Arkusz1!O221=[2]Arkusz1!$O$20,"Ix1","Ix2")))</f>
        <v>Ix2</v>
      </c>
      <c r="V218" s="4">
        <f>[2]Arkusz1!AM221</f>
        <v>0</v>
      </c>
      <c r="W218" s="4">
        <f>[2]Arkusz1!AB222</f>
        <v>0</v>
      </c>
      <c r="X218" s="4" t="e">
        <f>_xlfn.TEXTBEFORE([2]Arkusz1!AC222," (")</f>
        <v>#N/A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I218" s="4" t="s">
        <v>546</v>
      </c>
      <c r="AJ218" s="4" t="e">
        <v>#N/A</v>
      </c>
      <c r="AK218" s="4" t="e">
        <v>#N/A</v>
      </c>
      <c r="AL218" s="4" t="e">
        <v>#N/A</v>
      </c>
      <c r="AM218" s="4">
        <v>0</v>
      </c>
      <c r="AN218" s="4">
        <v>0</v>
      </c>
      <c r="AP218" s="4">
        <f>[1]Hist!$X228</f>
        <v>0</v>
      </c>
    </row>
    <row r="219" spans="1:42" x14ac:dyDescent="0.2">
      <c r="A219" s="4">
        <v>218</v>
      </c>
      <c r="B219" s="215">
        <f>[2]Arkusz1!B222</f>
        <v>0</v>
      </c>
      <c r="C219" s="44" t="str">
        <f>_xlfn.CONCAT([2]Arkusz1!G222," ",[2]Arkusz1!H222)</f>
        <v xml:space="preserve"> </v>
      </c>
      <c r="D219" s="4" t="e">
        <f>_xlfn.XLOOKUP(H219,[4]Sheet1!$I$2:$I$40,[4]Sheet1!$Y$2:$Y$40,,2,1)</f>
        <v>#N/A</v>
      </c>
      <c r="E219" s="4" t="e">
        <f>_xlfn.XLOOKUP(H219,[4]Sheet1!$I$2:$I$40,[4]Sheet1!$K$2:$K$40,,2,1)</f>
        <v>#N/A</v>
      </c>
      <c r="F219" s="218" t="e">
        <f>_xlfn.XLOOKUP(H219,[4]Sheet1!$I$2:$I$40,[4]Sheet1!$J$2:$J$40,,2,1)</f>
        <v>#N/A</v>
      </c>
      <c r="G219" s="4">
        <f>[2]Arkusz1!E222</f>
        <v>0</v>
      </c>
      <c r="H219" s="4">
        <f>[2]Arkusz1!J222</f>
        <v>0</v>
      </c>
      <c r="I219" s="213" t="str">
        <f>_xlfn.CONCAT([2]Arkusz1!C222," ",[2]Arkusz1!D222)</f>
        <v xml:space="preserve"> </v>
      </c>
      <c r="J219" s="216">
        <f ca="1">IF(DATEDIF([2]Arkusz1!S222,TODAY(),"Y")&gt;21,0,DATEDIF([2]Arkusz1!S222,TODAY(),"Y"))</f>
        <v>0</v>
      </c>
      <c r="K219" s="4">
        <f>[2]Arkusz1!T222</f>
        <v>0</v>
      </c>
      <c r="L219" s="216">
        <f>[2]Arkusz1!U222</f>
        <v>0</v>
      </c>
      <c r="M219" s="4">
        <f>[2]Arkusz1!P222</f>
        <v>0</v>
      </c>
      <c r="N219" s="4">
        <f>[2]Arkusz1!Q222</f>
        <v>0</v>
      </c>
      <c r="O219" s="4">
        <f>[2]Arkusz1!V222</f>
        <v>0</v>
      </c>
      <c r="P219" s="4">
        <f t="shared" si="5"/>
        <v>176</v>
      </c>
      <c r="Q219" s="4">
        <f>[2]Arkusz1!Y222</f>
        <v>0</v>
      </c>
      <c r="R219" s="4" t="s">
        <v>64</v>
      </c>
      <c r="S219" s="4" t="s">
        <v>64</v>
      </c>
      <c r="T219" s="4">
        <f>[2]Arkusz1!AA222</f>
        <v>0</v>
      </c>
      <c r="U219" s="4" t="str">
        <f>IF([2]Arkusz1!O222=[2]Arkusz1!$O$7,"Z",IF([2]Arkusz1!O222=[2]Arkusz1!$O$15,"Ix3",IF([2]Arkusz1!O222=[2]Arkusz1!$O$20,"Ix1","Ix2")))</f>
        <v>Ix2</v>
      </c>
      <c r="V219" s="4">
        <f>[2]Arkusz1!AM222</f>
        <v>0</v>
      </c>
      <c r="W219" s="4">
        <f>[2]Arkusz1!AB223</f>
        <v>0</v>
      </c>
      <c r="X219" s="4" t="e">
        <f>_xlfn.TEXTBEFORE([2]Arkusz1!AC223," (")</f>
        <v>#N/A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I219" s="4" t="s">
        <v>546</v>
      </c>
      <c r="AJ219" s="4" t="e">
        <v>#N/A</v>
      </c>
      <c r="AK219" s="4" t="e">
        <v>#N/A</v>
      </c>
      <c r="AL219" s="4" t="e">
        <v>#N/A</v>
      </c>
      <c r="AM219" s="4">
        <v>0</v>
      </c>
      <c r="AN219" s="4">
        <v>0</v>
      </c>
      <c r="AP219" s="4">
        <f>[1]Hist!$X229</f>
        <v>0</v>
      </c>
    </row>
    <row r="220" spans="1:42" x14ac:dyDescent="0.2">
      <c r="A220" s="4">
        <v>219</v>
      </c>
      <c r="B220" s="215">
        <f>[2]Arkusz1!B223</f>
        <v>0</v>
      </c>
      <c r="C220" s="44" t="str">
        <f>_xlfn.CONCAT([2]Arkusz1!G223," ",[2]Arkusz1!H223)</f>
        <v xml:space="preserve"> </v>
      </c>
      <c r="D220" s="4" t="e">
        <f>_xlfn.XLOOKUP(H220,[4]Sheet1!$I$2:$I$40,[4]Sheet1!$Y$2:$Y$40,,2,1)</f>
        <v>#N/A</v>
      </c>
      <c r="E220" s="4" t="e">
        <f>_xlfn.XLOOKUP(H220,[4]Sheet1!$I$2:$I$40,[4]Sheet1!$K$2:$K$40,,2,1)</f>
        <v>#N/A</v>
      </c>
      <c r="F220" s="218" t="e">
        <f>_xlfn.XLOOKUP(H220,[4]Sheet1!$I$2:$I$40,[4]Sheet1!$J$2:$J$40,,2,1)</f>
        <v>#N/A</v>
      </c>
      <c r="G220" s="4">
        <f>[2]Arkusz1!E223</f>
        <v>0</v>
      </c>
      <c r="H220" s="4">
        <f>[2]Arkusz1!J223</f>
        <v>0</v>
      </c>
      <c r="I220" s="213" t="str">
        <f>_xlfn.CONCAT([2]Arkusz1!C223," ",[2]Arkusz1!D223)</f>
        <v xml:space="preserve"> </v>
      </c>
      <c r="J220" s="216">
        <f ca="1">IF(DATEDIF([2]Arkusz1!S223,TODAY(),"Y")&gt;21,0,DATEDIF([2]Arkusz1!S223,TODAY(),"Y"))</f>
        <v>0</v>
      </c>
      <c r="K220" s="4">
        <f>[2]Arkusz1!T223</f>
        <v>0</v>
      </c>
      <c r="L220" s="216">
        <f>[2]Arkusz1!U223</f>
        <v>0</v>
      </c>
      <c r="M220" s="4">
        <f>[2]Arkusz1!P223</f>
        <v>0</v>
      </c>
      <c r="N220" s="4">
        <f>[2]Arkusz1!Q223</f>
        <v>0</v>
      </c>
      <c r="O220" s="4">
        <f>[2]Arkusz1!V223</f>
        <v>0</v>
      </c>
      <c r="P220" s="4">
        <f t="shared" si="5"/>
        <v>176</v>
      </c>
      <c r="Q220" s="4">
        <f>[2]Arkusz1!Y223</f>
        <v>0</v>
      </c>
      <c r="R220" s="4" t="s">
        <v>64</v>
      </c>
      <c r="S220" s="4" t="s">
        <v>64</v>
      </c>
      <c r="T220" s="4">
        <f>[2]Arkusz1!AA223</f>
        <v>0</v>
      </c>
      <c r="U220" s="4" t="str">
        <f>IF([2]Arkusz1!O223=[2]Arkusz1!$O$7,"Z",IF([2]Arkusz1!O223=[2]Arkusz1!$O$15,"Ix3",IF([2]Arkusz1!O223=[2]Arkusz1!$O$20,"Ix1","Ix2")))</f>
        <v>Ix2</v>
      </c>
      <c r="V220" s="4">
        <f>[2]Arkusz1!AM223</f>
        <v>0</v>
      </c>
      <c r="W220" s="4">
        <f>[2]Arkusz1!AB224</f>
        <v>0</v>
      </c>
      <c r="X220" s="4" t="e">
        <f>_xlfn.TEXTBEFORE([2]Arkusz1!AC224," (")</f>
        <v>#N/A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I220" s="4" t="s">
        <v>546</v>
      </c>
      <c r="AJ220" s="4" t="e">
        <v>#N/A</v>
      </c>
      <c r="AK220" s="4" t="e">
        <v>#N/A</v>
      </c>
      <c r="AL220" s="4" t="e">
        <v>#N/A</v>
      </c>
      <c r="AM220" s="4">
        <v>0</v>
      </c>
      <c r="AN220" s="4">
        <v>0</v>
      </c>
      <c r="AP220" s="4">
        <f>[1]Hist!$X230</f>
        <v>0</v>
      </c>
    </row>
    <row r="221" spans="1:42" x14ac:dyDescent="0.2">
      <c r="A221" s="4">
        <v>220</v>
      </c>
      <c r="B221" s="215">
        <f>[2]Arkusz1!B224</f>
        <v>0</v>
      </c>
      <c r="C221" s="44" t="str">
        <f>_xlfn.CONCAT([2]Arkusz1!G224," ",[2]Arkusz1!H224)</f>
        <v xml:space="preserve"> </v>
      </c>
      <c r="D221" s="4" t="e">
        <f>_xlfn.XLOOKUP(H221,[4]Sheet1!$I$2:$I$40,[4]Sheet1!$Y$2:$Y$40,,2,1)</f>
        <v>#N/A</v>
      </c>
      <c r="E221" s="4" t="e">
        <f>_xlfn.XLOOKUP(H221,[4]Sheet1!$I$2:$I$40,[4]Sheet1!$K$2:$K$40,,2,1)</f>
        <v>#N/A</v>
      </c>
      <c r="F221" s="218" t="e">
        <f>_xlfn.XLOOKUP(H221,[4]Sheet1!$I$2:$I$40,[4]Sheet1!$J$2:$J$40,,2,1)</f>
        <v>#N/A</v>
      </c>
      <c r="G221" s="4">
        <f>[2]Arkusz1!E224</f>
        <v>0</v>
      </c>
      <c r="H221" s="4">
        <f>[2]Arkusz1!J224</f>
        <v>0</v>
      </c>
      <c r="I221" s="213" t="str">
        <f>_xlfn.CONCAT([2]Arkusz1!C224," ",[2]Arkusz1!D224)</f>
        <v xml:space="preserve"> </v>
      </c>
      <c r="J221" s="216">
        <f ca="1">IF(DATEDIF([2]Arkusz1!S224,TODAY(),"Y")&gt;21,0,DATEDIF([2]Arkusz1!S224,TODAY(),"Y"))</f>
        <v>0</v>
      </c>
      <c r="K221" s="4">
        <f>[2]Arkusz1!T224</f>
        <v>0</v>
      </c>
      <c r="L221" s="216">
        <f>[2]Arkusz1!U224</f>
        <v>0</v>
      </c>
      <c r="M221" s="4">
        <f>[2]Arkusz1!P224</f>
        <v>0</v>
      </c>
      <c r="N221" s="4">
        <f>[2]Arkusz1!Q224</f>
        <v>0</v>
      </c>
      <c r="O221" s="4">
        <f>[2]Arkusz1!V224</f>
        <v>0</v>
      </c>
      <c r="P221" s="4">
        <f t="shared" si="5"/>
        <v>176</v>
      </c>
      <c r="Q221" s="4">
        <f>[2]Arkusz1!Y224</f>
        <v>0</v>
      </c>
      <c r="R221" s="4" t="s">
        <v>64</v>
      </c>
      <c r="S221" s="4" t="s">
        <v>64</v>
      </c>
      <c r="T221" s="4">
        <f>[2]Arkusz1!AA224</f>
        <v>0</v>
      </c>
      <c r="U221" s="4" t="str">
        <f>IF([2]Arkusz1!O224=[2]Arkusz1!$O$7,"Z",IF([2]Arkusz1!O224=[2]Arkusz1!$O$15,"Ix3",IF([2]Arkusz1!O224=[2]Arkusz1!$O$20,"Ix1","Ix2")))</f>
        <v>Ix2</v>
      </c>
      <c r="V221" s="4">
        <f>[2]Arkusz1!AM224</f>
        <v>0</v>
      </c>
      <c r="W221" s="4">
        <f>[2]Arkusz1!AB225</f>
        <v>0</v>
      </c>
      <c r="X221" s="4" t="e">
        <f>_xlfn.TEXTBEFORE([2]Arkusz1!AC225," (")</f>
        <v>#N/A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I221" s="4" t="s">
        <v>546</v>
      </c>
      <c r="AJ221" s="4" t="e">
        <v>#N/A</v>
      </c>
      <c r="AK221" s="4" t="e">
        <v>#N/A</v>
      </c>
      <c r="AL221" s="4" t="e">
        <v>#N/A</v>
      </c>
      <c r="AM221" s="4">
        <v>0</v>
      </c>
      <c r="AN221" s="4">
        <v>0</v>
      </c>
      <c r="AP221" s="4">
        <f>[1]Hist!$X231</f>
        <v>0</v>
      </c>
    </row>
    <row r="222" spans="1:42" x14ac:dyDescent="0.2">
      <c r="A222" s="4">
        <v>221</v>
      </c>
      <c r="B222" s="215">
        <f>[2]Arkusz1!B225</f>
        <v>0</v>
      </c>
      <c r="C222" s="44" t="str">
        <f>_xlfn.CONCAT([2]Arkusz1!G225," ",[2]Arkusz1!H225)</f>
        <v xml:space="preserve"> </v>
      </c>
      <c r="D222" s="4" t="e">
        <f>_xlfn.XLOOKUP(H222,[4]Sheet1!$I$2:$I$40,[4]Sheet1!$Y$2:$Y$40,,2,1)</f>
        <v>#N/A</v>
      </c>
      <c r="E222" s="4" t="e">
        <f>_xlfn.XLOOKUP(H222,[4]Sheet1!$I$2:$I$40,[4]Sheet1!$K$2:$K$40,,2,1)</f>
        <v>#N/A</v>
      </c>
      <c r="F222" s="218" t="e">
        <f>_xlfn.XLOOKUP(H222,[4]Sheet1!$I$2:$I$40,[4]Sheet1!$J$2:$J$40,,2,1)</f>
        <v>#N/A</v>
      </c>
      <c r="G222" s="4">
        <f>[2]Arkusz1!E225</f>
        <v>0</v>
      </c>
      <c r="H222" s="4">
        <f>[2]Arkusz1!J225</f>
        <v>0</v>
      </c>
      <c r="I222" s="213" t="str">
        <f>_xlfn.CONCAT([2]Arkusz1!C225," ",[2]Arkusz1!D225)</f>
        <v xml:space="preserve"> </v>
      </c>
      <c r="J222" s="216">
        <f ca="1">IF(DATEDIF([2]Arkusz1!S225,TODAY(),"Y")&gt;21,0,DATEDIF([2]Arkusz1!S225,TODAY(),"Y"))</f>
        <v>0</v>
      </c>
      <c r="K222" s="4">
        <f>[2]Arkusz1!T225</f>
        <v>0</v>
      </c>
      <c r="L222" s="216">
        <f>[2]Arkusz1!U225</f>
        <v>0</v>
      </c>
      <c r="M222" s="4">
        <f>[2]Arkusz1!P225</f>
        <v>0</v>
      </c>
      <c r="N222" s="4">
        <f>[2]Arkusz1!Q225</f>
        <v>0</v>
      </c>
      <c r="O222" s="4">
        <f>[2]Arkusz1!V225</f>
        <v>0</v>
      </c>
      <c r="P222" s="4">
        <f t="shared" si="5"/>
        <v>176</v>
      </c>
      <c r="Q222" s="4">
        <f>[2]Arkusz1!Y225</f>
        <v>0</v>
      </c>
      <c r="R222" s="4" t="s">
        <v>64</v>
      </c>
      <c r="S222" s="4" t="s">
        <v>64</v>
      </c>
      <c r="T222" s="4">
        <f>[2]Arkusz1!AA225</f>
        <v>0</v>
      </c>
      <c r="U222" s="4" t="str">
        <f>IF([2]Arkusz1!O225=[2]Arkusz1!$O$7,"Z",IF([2]Arkusz1!O225=[2]Arkusz1!$O$15,"Ix3",IF([2]Arkusz1!O225=[2]Arkusz1!$O$20,"Ix1","Ix2")))</f>
        <v>Ix2</v>
      </c>
      <c r="V222" s="4">
        <f>[2]Arkusz1!AM225</f>
        <v>0</v>
      </c>
      <c r="W222" s="4">
        <f>[2]Arkusz1!AB226</f>
        <v>0</v>
      </c>
      <c r="X222" s="4" t="e">
        <f>_xlfn.TEXTBEFORE([2]Arkusz1!AC226," (")</f>
        <v>#N/A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I222" s="4" t="s">
        <v>546</v>
      </c>
      <c r="AJ222" s="4" t="e">
        <v>#N/A</v>
      </c>
      <c r="AK222" s="4" t="e">
        <v>#N/A</v>
      </c>
      <c r="AL222" s="4" t="e">
        <v>#N/A</v>
      </c>
      <c r="AM222" s="4">
        <v>0</v>
      </c>
      <c r="AN222" s="4">
        <v>0</v>
      </c>
      <c r="AP222" s="4">
        <f>[1]Hist!$X232</f>
        <v>0</v>
      </c>
    </row>
    <row r="223" spans="1:42" x14ac:dyDescent="0.2">
      <c r="A223" s="4">
        <v>222</v>
      </c>
      <c r="B223" s="215">
        <f>[2]Arkusz1!B226</f>
        <v>0</v>
      </c>
      <c r="C223" s="44" t="str">
        <f>_xlfn.CONCAT([2]Arkusz1!G226," ",[2]Arkusz1!H226)</f>
        <v xml:space="preserve"> </v>
      </c>
      <c r="D223" s="4" t="e">
        <f>_xlfn.XLOOKUP(H223,[4]Sheet1!$I$2:$I$40,[4]Sheet1!$Y$2:$Y$40,,2,1)</f>
        <v>#N/A</v>
      </c>
      <c r="E223" s="4" t="e">
        <f>_xlfn.XLOOKUP(H223,[4]Sheet1!$I$2:$I$40,[4]Sheet1!$K$2:$K$40,,2,1)</f>
        <v>#N/A</v>
      </c>
      <c r="F223" s="218" t="e">
        <f>_xlfn.XLOOKUP(H223,[4]Sheet1!$I$2:$I$40,[4]Sheet1!$J$2:$J$40,,2,1)</f>
        <v>#N/A</v>
      </c>
      <c r="G223" s="4">
        <f>[2]Arkusz1!E226</f>
        <v>0</v>
      </c>
      <c r="H223" s="4">
        <f>[2]Arkusz1!J226</f>
        <v>0</v>
      </c>
      <c r="I223" s="213" t="str">
        <f>_xlfn.CONCAT([2]Arkusz1!C226," ",[2]Arkusz1!D226)</f>
        <v xml:space="preserve"> </v>
      </c>
      <c r="J223" s="216">
        <f ca="1">IF(DATEDIF([2]Arkusz1!S226,TODAY(),"Y")&gt;21,0,DATEDIF([2]Arkusz1!S226,TODAY(),"Y"))</f>
        <v>0</v>
      </c>
      <c r="K223" s="4">
        <f>[2]Arkusz1!T226</f>
        <v>0</v>
      </c>
      <c r="L223" s="216">
        <f>[2]Arkusz1!U226</f>
        <v>0</v>
      </c>
      <c r="M223" s="4">
        <f>[2]Arkusz1!P226</f>
        <v>0</v>
      </c>
      <c r="N223" s="4">
        <f>[2]Arkusz1!Q226</f>
        <v>0</v>
      </c>
      <c r="O223" s="4">
        <f>[2]Arkusz1!V226</f>
        <v>0</v>
      </c>
      <c r="P223" s="4">
        <f t="shared" si="5"/>
        <v>176</v>
      </c>
      <c r="Q223" s="4">
        <f>[2]Arkusz1!Y226</f>
        <v>0</v>
      </c>
      <c r="R223" s="4" t="s">
        <v>64</v>
      </c>
      <c r="S223" s="4" t="s">
        <v>64</v>
      </c>
      <c r="T223" s="4">
        <f>[2]Arkusz1!AA226</f>
        <v>0</v>
      </c>
      <c r="U223" s="4" t="str">
        <f>IF([2]Arkusz1!O226=[2]Arkusz1!$O$7,"Z",IF([2]Arkusz1!O226=[2]Arkusz1!$O$15,"Ix3",IF([2]Arkusz1!O226=[2]Arkusz1!$O$20,"Ix1","Ix2")))</f>
        <v>Ix2</v>
      </c>
      <c r="V223" s="4">
        <f>[2]Arkusz1!AM226</f>
        <v>0</v>
      </c>
      <c r="W223" s="4">
        <f>[2]Arkusz1!AB227</f>
        <v>0</v>
      </c>
      <c r="X223" s="4" t="e">
        <f>_xlfn.TEXTBEFORE([2]Arkusz1!AC227," (")</f>
        <v>#N/A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I223" s="4" t="s">
        <v>546</v>
      </c>
      <c r="AJ223" s="4" t="e">
        <v>#N/A</v>
      </c>
      <c r="AK223" s="4" t="e">
        <v>#N/A</v>
      </c>
      <c r="AL223" s="4" t="e">
        <v>#N/A</v>
      </c>
      <c r="AM223" s="4">
        <v>0</v>
      </c>
      <c r="AN223" s="4">
        <v>0</v>
      </c>
      <c r="AP223" s="4">
        <f>[1]Hist!$X233</f>
        <v>0</v>
      </c>
    </row>
    <row r="224" spans="1:42" x14ac:dyDescent="0.2">
      <c r="A224" s="4">
        <v>223</v>
      </c>
      <c r="B224" s="215">
        <f>[2]Arkusz1!B227</f>
        <v>0</v>
      </c>
      <c r="C224" s="44" t="str">
        <f>_xlfn.CONCAT([2]Arkusz1!G227," ",[2]Arkusz1!H227)</f>
        <v xml:space="preserve"> </v>
      </c>
      <c r="D224" s="4" t="e">
        <f>_xlfn.XLOOKUP(H224,[4]Sheet1!$I$2:$I$40,[4]Sheet1!$Y$2:$Y$40,,2,1)</f>
        <v>#N/A</v>
      </c>
      <c r="E224" s="4" t="e">
        <f>_xlfn.XLOOKUP(H224,[4]Sheet1!$I$2:$I$40,[4]Sheet1!$K$2:$K$40,,2,1)</f>
        <v>#N/A</v>
      </c>
      <c r="F224" s="218" t="e">
        <f>_xlfn.XLOOKUP(H224,[4]Sheet1!$I$2:$I$40,[4]Sheet1!$J$2:$J$40,,2,1)</f>
        <v>#N/A</v>
      </c>
      <c r="G224" s="4">
        <f>[2]Arkusz1!E227</f>
        <v>0</v>
      </c>
      <c r="H224" s="4">
        <f>[2]Arkusz1!J227</f>
        <v>0</v>
      </c>
      <c r="I224" s="213" t="str">
        <f>_xlfn.CONCAT([2]Arkusz1!C227," ",[2]Arkusz1!D227)</f>
        <v xml:space="preserve"> </v>
      </c>
      <c r="J224" s="216">
        <f ca="1">IF(DATEDIF([2]Arkusz1!S227,TODAY(),"Y")&gt;21,0,DATEDIF([2]Arkusz1!S227,TODAY(),"Y"))</f>
        <v>0</v>
      </c>
      <c r="K224" s="4">
        <f>[2]Arkusz1!T227</f>
        <v>0</v>
      </c>
      <c r="L224" s="216">
        <f>[2]Arkusz1!U227</f>
        <v>0</v>
      </c>
      <c r="M224" s="4">
        <f>[2]Arkusz1!P227</f>
        <v>0</v>
      </c>
      <c r="N224" s="4">
        <f>[2]Arkusz1!Q227</f>
        <v>0</v>
      </c>
      <c r="O224" s="4">
        <f>[2]Arkusz1!V227</f>
        <v>0</v>
      </c>
      <c r="P224" s="4">
        <f t="shared" si="5"/>
        <v>176</v>
      </c>
      <c r="Q224" s="4">
        <f>[2]Arkusz1!Y227</f>
        <v>0</v>
      </c>
      <c r="R224" s="4" t="s">
        <v>64</v>
      </c>
      <c r="S224" s="4" t="s">
        <v>64</v>
      </c>
      <c r="T224" s="4">
        <f>[2]Arkusz1!AA227</f>
        <v>0</v>
      </c>
      <c r="U224" s="4" t="str">
        <f>IF([2]Arkusz1!O227=[2]Arkusz1!$O$7,"Z",IF([2]Arkusz1!O227=[2]Arkusz1!$O$15,"Ix3",IF([2]Arkusz1!O227=[2]Arkusz1!$O$20,"Ix1","Ix2")))</f>
        <v>Ix2</v>
      </c>
      <c r="V224" s="4">
        <f>[2]Arkusz1!AM227</f>
        <v>0</v>
      </c>
      <c r="W224" s="4">
        <f>[2]Arkusz1!AB228</f>
        <v>0</v>
      </c>
      <c r="X224" s="4" t="e">
        <f>_xlfn.TEXTBEFORE([2]Arkusz1!AC228," (")</f>
        <v>#N/A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I224" s="4" t="s">
        <v>546</v>
      </c>
      <c r="AJ224" s="4" t="e">
        <v>#N/A</v>
      </c>
      <c r="AK224" s="4" t="e">
        <v>#N/A</v>
      </c>
      <c r="AL224" s="4" t="e">
        <v>#N/A</v>
      </c>
      <c r="AM224" s="4">
        <v>0</v>
      </c>
      <c r="AN224" s="4">
        <v>0</v>
      </c>
      <c r="AP224" s="4">
        <f>[1]Hist!$X234</f>
        <v>0</v>
      </c>
    </row>
    <row r="225" spans="1:42" x14ac:dyDescent="0.2">
      <c r="A225" s="4">
        <v>224</v>
      </c>
      <c r="B225" s="215">
        <f>[2]Arkusz1!B228</f>
        <v>0</v>
      </c>
      <c r="C225" s="44" t="str">
        <f>_xlfn.CONCAT([2]Arkusz1!G228," ",[2]Arkusz1!H228)</f>
        <v xml:space="preserve"> </v>
      </c>
      <c r="D225" s="4" t="e">
        <f>_xlfn.XLOOKUP(H225,[4]Sheet1!$I$2:$I$40,[4]Sheet1!$Y$2:$Y$40,,2,1)</f>
        <v>#N/A</v>
      </c>
      <c r="E225" s="4" t="e">
        <f>_xlfn.XLOOKUP(H225,[4]Sheet1!$I$2:$I$40,[4]Sheet1!$K$2:$K$40,,2,1)</f>
        <v>#N/A</v>
      </c>
      <c r="F225" s="218" t="e">
        <f>_xlfn.XLOOKUP(H225,[4]Sheet1!$I$2:$I$40,[4]Sheet1!$J$2:$J$40,,2,1)</f>
        <v>#N/A</v>
      </c>
      <c r="G225" s="4">
        <f>[2]Arkusz1!E228</f>
        <v>0</v>
      </c>
      <c r="H225" s="4">
        <f>[2]Arkusz1!J228</f>
        <v>0</v>
      </c>
      <c r="I225" s="213" t="str">
        <f>_xlfn.CONCAT([2]Arkusz1!C228," ",[2]Arkusz1!D228)</f>
        <v xml:space="preserve"> </v>
      </c>
      <c r="J225" s="216">
        <f ca="1">IF(DATEDIF([2]Arkusz1!S228,TODAY(),"Y")&gt;21,0,DATEDIF([2]Arkusz1!S228,TODAY(),"Y"))</f>
        <v>0</v>
      </c>
      <c r="K225" s="4">
        <f>[2]Arkusz1!T228</f>
        <v>0</v>
      </c>
      <c r="L225" s="216">
        <f>[2]Arkusz1!U228</f>
        <v>0</v>
      </c>
      <c r="M225" s="4">
        <f>[2]Arkusz1!P228</f>
        <v>0</v>
      </c>
      <c r="N225" s="4">
        <f>[2]Arkusz1!Q228</f>
        <v>0</v>
      </c>
      <c r="O225" s="4">
        <f>[2]Arkusz1!V228</f>
        <v>0</v>
      </c>
      <c r="P225" s="4">
        <f t="shared" si="5"/>
        <v>176</v>
      </c>
      <c r="Q225" s="4">
        <f>[2]Arkusz1!Y228</f>
        <v>0</v>
      </c>
      <c r="R225" s="4" t="s">
        <v>64</v>
      </c>
      <c r="S225" s="4" t="s">
        <v>64</v>
      </c>
      <c r="T225" s="4">
        <f>[2]Arkusz1!AA228</f>
        <v>0</v>
      </c>
      <c r="U225" s="4" t="str">
        <f>IF([2]Arkusz1!O228=[2]Arkusz1!$O$7,"Z",IF([2]Arkusz1!O228=[2]Arkusz1!$O$15,"Ix3",IF([2]Arkusz1!O228=[2]Arkusz1!$O$20,"Ix1","Ix2")))</f>
        <v>Ix2</v>
      </c>
      <c r="V225" s="4">
        <f>[2]Arkusz1!AM228</f>
        <v>0</v>
      </c>
      <c r="W225" s="4">
        <f>[2]Arkusz1!AB229</f>
        <v>0</v>
      </c>
      <c r="X225" s="4" t="e">
        <f>_xlfn.TEXTBEFORE([2]Arkusz1!AC229," (")</f>
        <v>#N/A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I225" s="4" t="s">
        <v>546</v>
      </c>
      <c r="AJ225" s="4" t="e">
        <v>#N/A</v>
      </c>
      <c r="AK225" s="4" t="e">
        <v>#N/A</v>
      </c>
      <c r="AL225" s="4" t="e">
        <v>#N/A</v>
      </c>
      <c r="AM225" s="4">
        <v>0</v>
      </c>
      <c r="AN225" s="4">
        <v>0</v>
      </c>
      <c r="AP225" s="4">
        <f>[1]Hist!$X235</f>
        <v>0</v>
      </c>
    </row>
    <row r="226" spans="1:42" x14ac:dyDescent="0.2">
      <c r="A226" s="4">
        <v>225</v>
      </c>
      <c r="B226" s="215">
        <f>[2]Arkusz1!B229</f>
        <v>0</v>
      </c>
      <c r="C226" s="44" t="str">
        <f>_xlfn.CONCAT([2]Arkusz1!G229," ",[2]Arkusz1!H229)</f>
        <v xml:space="preserve"> </v>
      </c>
      <c r="D226" s="4" t="e">
        <f>_xlfn.XLOOKUP(H226,[4]Sheet1!$I$2:$I$40,[4]Sheet1!$Y$2:$Y$40,,2,1)</f>
        <v>#N/A</v>
      </c>
      <c r="E226" s="4" t="e">
        <f>_xlfn.XLOOKUP(H226,[4]Sheet1!$I$2:$I$40,[4]Sheet1!$K$2:$K$40,,2,1)</f>
        <v>#N/A</v>
      </c>
      <c r="F226" s="218" t="e">
        <f>_xlfn.XLOOKUP(H226,[4]Sheet1!$I$2:$I$40,[4]Sheet1!$J$2:$J$40,,2,1)</f>
        <v>#N/A</v>
      </c>
      <c r="G226" s="4">
        <f>[2]Arkusz1!E229</f>
        <v>0</v>
      </c>
      <c r="H226" s="4">
        <f>[2]Arkusz1!J229</f>
        <v>0</v>
      </c>
      <c r="I226" s="213" t="str">
        <f>_xlfn.CONCAT([2]Arkusz1!C229," ",[2]Arkusz1!D229)</f>
        <v xml:space="preserve"> </v>
      </c>
      <c r="J226" s="216">
        <f ca="1">IF(DATEDIF([2]Arkusz1!S229,TODAY(),"Y")&gt;21,0,DATEDIF([2]Arkusz1!S229,TODAY(),"Y"))</f>
        <v>0</v>
      </c>
      <c r="K226" s="4">
        <f>[2]Arkusz1!T229</f>
        <v>0</v>
      </c>
      <c r="L226" s="216">
        <f>[2]Arkusz1!U229</f>
        <v>0</v>
      </c>
      <c r="M226" s="4">
        <f>[2]Arkusz1!P229</f>
        <v>0</v>
      </c>
      <c r="N226" s="4">
        <f>[2]Arkusz1!Q229</f>
        <v>0</v>
      </c>
      <c r="O226" s="4">
        <f>[2]Arkusz1!V229</f>
        <v>0</v>
      </c>
      <c r="P226" s="4">
        <f t="shared" si="5"/>
        <v>176</v>
      </c>
      <c r="Q226" s="4">
        <f>[2]Arkusz1!Y229</f>
        <v>0</v>
      </c>
      <c r="R226" s="4" t="s">
        <v>64</v>
      </c>
      <c r="S226" s="4" t="s">
        <v>64</v>
      </c>
      <c r="T226" s="4">
        <f>[2]Arkusz1!AA229</f>
        <v>0</v>
      </c>
      <c r="U226" s="4" t="str">
        <f>IF([2]Arkusz1!O229=[2]Arkusz1!$O$7,"Z",IF([2]Arkusz1!O229=[2]Arkusz1!$O$15,"Ix3",IF([2]Arkusz1!O229=[2]Arkusz1!$O$20,"Ix1","Ix2")))</f>
        <v>Ix2</v>
      </c>
      <c r="V226" s="4">
        <f>[2]Arkusz1!AM229</f>
        <v>0</v>
      </c>
      <c r="W226" s="4">
        <f>[2]Arkusz1!AB230</f>
        <v>0</v>
      </c>
      <c r="X226" s="4" t="e">
        <f>_xlfn.TEXTBEFORE([2]Arkusz1!AC230," (")</f>
        <v>#N/A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I226" s="4" t="s">
        <v>546</v>
      </c>
      <c r="AJ226" s="4" t="e">
        <v>#N/A</v>
      </c>
      <c r="AK226" s="4" t="e">
        <v>#N/A</v>
      </c>
      <c r="AL226" s="4" t="e">
        <v>#N/A</v>
      </c>
      <c r="AM226" s="4">
        <v>0</v>
      </c>
      <c r="AN226" s="4">
        <v>0</v>
      </c>
      <c r="AP226" s="4">
        <f>[1]Hist!$X236</f>
        <v>0</v>
      </c>
    </row>
    <row r="227" spans="1:42" x14ac:dyDescent="0.2">
      <c r="A227" s="4">
        <v>226</v>
      </c>
      <c r="B227" s="215">
        <f>[2]Arkusz1!B230</f>
        <v>0</v>
      </c>
      <c r="C227" s="44" t="str">
        <f>_xlfn.CONCAT([2]Arkusz1!G230," ",[2]Arkusz1!H230)</f>
        <v xml:space="preserve"> </v>
      </c>
      <c r="D227" s="4" t="e">
        <f>_xlfn.XLOOKUP(H227,[4]Sheet1!$I$2:$I$40,[4]Sheet1!$Y$2:$Y$40,,2,1)</f>
        <v>#N/A</v>
      </c>
      <c r="E227" s="4" t="e">
        <f>_xlfn.XLOOKUP(H227,[4]Sheet1!$I$2:$I$40,[4]Sheet1!$K$2:$K$40,,2,1)</f>
        <v>#N/A</v>
      </c>
      <c r="F227" s="218" t="e">
        <f>_xlfn.XLOOKUP(H227,[4]Sheet1!$I$2:$I$40,[4]Sheet1!$J$2:$J$40,,2,1)</f>
        <v>#N/A</v>
      </c>
      <c r="G227" s="4">
        <f>[2]Arkusz1!E230</f>
        <v>0</v>
      </c>
      <c r="H227" s="4">
        <f>[2]Arkusz1!J230</f>
        <v>0</v>
      </c>
      <c r="I227" s="213" t="str">
        <f>_xlfn.CONCAT([2]Arkusz1!C230," ",[2]Arkusz1!D230)</f>
        <v xml:space="preserve"> </v>
      </c>
      <c r="J227" s="216">
        <f ca="1">IF(DATEDIF([2]Arkusz1!S230,TODAY(),"Y")&gt;21,0,DATEDIF([2]Arkusz1!S230,TODAY(),"Y"))</f>
        <v>0</v>
      </c>
      <c r="K227" s="4">
        <f>[2]Arkusz1!T230</f>
        <v>0</v>
      </c>
      <c r="L227" s="216">
        <f>[2]Arkusz1!U230</f>
        <v>0</v>
      </c>
      <c r="M227" s="4">
        <f>[2]Arkusz1!P230</f>
        <v>0</v>
      </c>
      <c r="N227" s="4">
        <f>[2]Arkusz1!Q230</f>
        <v>0</v>
      </c>
      <c r="O227" s="4">
        <f>[2]Arkusz1!V230</f>
        <v>0</v>
      </c>
      <c r="P227" s="4">
        <f t="shared" si="5"/>
        <v>176</v>
      </c>
      <c r="Q227" s="4">
        <f>[2]Arkusz1!Y230</f>
        <v>0</v>
      </c>
      <c r="R227" s="4" t="s">
        <v>64</v>
      </c>
      <c r="S227" s="4" t="s">
        <v>64</v>
      </c>
      <c r="T227" s="4">
        <f>[2]Arkusz1!AA230</f>
        <v>0</v>
      </c>
      <c r="U227" s="4" t="str">
        <f>IF([2]Arkusz1!O230=[2]Arkusz1!$O$7,"Z",IF([2]Arkusz1!O230=[2]Arkusz1!$O$15,"Ix3",IF([2]Arkusz1!O230=[2]Arkusz1!$O$20,"Ix1","Ix2")))</f>
        <v>Ix2</v>
      </c>
      <c r="V227" s="4">
        <f>[2]Arkusz1!AM230</f>
        <v>0</v>
      </c>
      <c r="W227" s="4">
        <f>[2]Arkusz1!AB231</f>
        <v>0</v>
      </c>
      <c r="X227" s="4" t="e">
        <f>_xlfn.TEXTBEFORE([2]Arkusz1!AC231," (")</f>
        <v>#N/A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I227" s="4" t="s">
        <v>546</v>
      </c>
      <c r="AJ227" s="4" t="e">
        <v>#N/A</v>
      </c>
      <c r="AK227" s="4" t="e">
        <v>#N/A</v>
      </c>
      <c r="AL227" s="4" t="e">
        <v>#N/A</v>
      </c>
      <c r="AM227" s="4">
        <v>0</v>
      </c>
      <c r="AN227" s="4">
        <v>0</v>
      </c>
      <c r="AP227" s="4">
        <f>[1]Hist!$X237</f>
        <v>0</v>
      </c>
    </row>
    <row r="228" spans="1:42" x14ac:dyDescent="0.2">
      <c r="A228" s="4">
        <v>227</v>
      </c>
      <c r="B228" s="215">
        <f>[2]Arkusz1!B231</f>
        <v>0</v>
      </c>
      <c r="C228" s="44" t="str">
        <f>_xlfn.CONCAT([2]Arkusz1!G231," ",[2]Arkusz1!H231)</f>
        <v xml:space="preserve"> </v>
      </c>
      <c r="D228" s="4" t="e">
        <f>_xlfn.XLOOKUP(H228,[4]Sheet1!$I$2:$I$40,[4]Sheet1!$Y$2:$Y$40,,2,1)</f>
        <v>#N/A</v>
      </c>
      <c r="E228" s="4" t="e">
        <f>_xlfn.XLOOKUP(H228,[4]Sheet1!$I$2:$I$40,[4]Sheet1!$K$2:$K$40,,2,1)</f>
        <v>#N/A</v>
      </c>
      <c r="F228" s="218" t="e">
        <f>_xlfn.XLOOKUP(H228,[4]Sheet1!$I$2:$I$40,[4]Sheet1!$J$2:$J$40,,2,1)</f>
        <v>#N/A</v>
      </c>
      <c r="G228" s="4">
        <f>[2]Arkusz1!E231</f>
        <v>0</v>
      </c>
      <c r="H228" s="4">
        <f>[2]Arkusz1!J231</f>
        <v>0</v>
      </c>
      <c r="I228" s="213" t="str">
        <f>_xlfn.CONCAT([2]Arkusz1!C231," ",[2]Arkusz1!D231)</f>
        <v xml:space="preserve"> </v>
      </c>
      <c r="J228" s="216">
        <f ca="1">IF(DATEDIF([2]Arkusz1!S231,TODAY(),"Y")&gt;21,0,DATEDIF([2]Arkusz1!S231,TODAY(),"Y"))</f>
        <v>0</v>
      </c>
      <c r="K228" s="4">
        <f>[2]Arkusz1!T231</f>
        <v>0</v>
      </c>
      <c r="L228" s="216">
        <f>[2]Arkusz1!U231</f>
        <v>0</v>
      </c>
      <c r="M228" s="4">
        <f>[2]Arkusz1!P231</f>
        <v>0</v>
      </c>
      <c r="N228" s="4">
        <f>[2]Arkusz1!Q231</f>
        <v>0</v>
      </c>
      <c r="O228" s="4">
        <f>[2]Arkusz1!V231</f>
        <v>0</v>
      </c>
      <c r="P228" s="4">
        <f t="shared" si="5"/>
        <v>176</v>
      </c>
      <c r="Q228" s="4">
        <f>[2]Arkusz1!Y231</f>
        <v>0</v>
      </c>
      <c r="R228" s="4" t="s">
        <v>64</v>
      </c>
      <c r="S228" s="4" t="s">
        <v>64</v>
      </c>
      <c r="T228" s="4">
        <f>[2]Arkusz1!AA231</f>
        <v>0</v>
      </c>
      <c r="U228" s="4" t="str">
        <f>IF([2]Arkusz1!O231=[2]Arkusz1!$O$7,"Z",IF([2]Arkusz1!O231=[2]Arkusz1!$O$15,"Ix3",IF([2]Arkusz1!O231=[2]Arkusz1!$O$20,"Ix1","Ix2")))</f>
        <v>Ix2</v>
      </c>
      <c r="V228" s="4">
        <f>[2]Arkusz1!AM231</f>
        <v>0</v>
      </c>
      <c r="W228" s="4">
        <f>[2]Arkusz1!AB232</f>
        <v>0</v>
      </c>
      <c r="X228" s="4" t="e">
        <f>_xlfn.TEXTBEFORE([2]Arkusz1!AC232," (")</f>
        <v>#N/A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I228" s="4" t="s">
        <v>546</v>
      </c>
      <c r="AJ228" s="4" t="e">
        <v>#N/A</v>
      </c>
      <c r="AK228" s="4" t="e">
        <v>#N/A</v>
      </c>
      <c r="AL228" s="4" t="e">
        <v>#N/A</v>
      </c>
      <c r="AM228" s="4">
        <v>0</v>
      </c>
      <c r="AN228" s="4">
        <v>0</v>
      </c>
      <c r="AP228" s="4">
        <f>[1]Hist!$X238</f>
        <v>0</v>
      </c>
    </row>
    <row r="229" spans="1:42" x14ac:dyDescent="0.2">
      <c r="A229" s="4">
        <v>228</v>
      </c>
      <c r="B229" s="215">
        <f>[2]Arkusz1!B232</f>
        <v>0</v>
      </c>
      <c r="C229" s="44" t="str">
        <f>_xlfn.CONCAT([2]Arkusz1!G232," ",[2]Arkusz1!H232)</f>
        <v xml:space="preserve"> </v>
      </c>
      <c r="D229" s="4" t="e">
        <f>_xlfn.XLOOKUP(H229,[4]Sheet1!$I$2:$I$40,[4]Sheet1!$Y$2:$Y$40,,2,1)</f>
        <v>#N/A</v>
      </c>
      <c r="E229" s="4" t="e">
        <f>_xlfn.XLOOKUP(H229,[4]Sheet1!$I$2:$I$40,[4]Sheet1!$K$2:$K$40,,2,1)</f>
        <v>#N/A</v>
      </c>
      <c r="F229" s="218" t="e">
        <f>_xlfn.XLOOKUP(H229,[4]Sheet1!$I$2:$I$40,[4]Sheet1!$J$2:$J$40,,2,1)</f>
        <v>#N/A</v>
      </c>
      <c r="G229" s="4">
        <f>[2]Arkusz1!E232</f>
        <v>0</v>
      </c>
      <c r="H229" s="4">
        <f>[2]Arkusz1!J232</f>
        <v>0</v>
      </c>
      <c r="I229" s="213" t="str">
        <f>_xlfn.CONCAT([2]Arkusz1!C232," ",[2]Arkusz1!D232)</f>
        <v xml:space="preserve"> </v>
      </c>
      <c r="J229" s="216">
        <f ca="1">IF(DATEDIF([2]Arkusz1!S232,TODAY(),"Y")&gt;21,0,DATEDIF([2]Arkusz1!S232,TODAY(),"Y"))</f>
        <v>0</v>
      </c>
      <c r="K229" s="4">
        <f>[2]Arkusz1!T232</f>
        <v>0</v>
      </c>
      <c r="L229" s="216">
        <f>[2]Arkusz1!U232</f>
        <v>0</v>
      </c>
      <c r="M229" s="4">
        <f>[2]Arkusz1!P232</f>
        <v>0</v>
      </c>
      <c r="N229" s="4">
        <f>[2]Arkusz1!Q232</f>
        <v>0</v>
      </c>
      <c r="O229" s="4">
        <f>[2]Arkusz1!V232</f>
        <v>0</v>
      </c>
      <c r="P229" s="4">
        <f t="shared" si="5"/>
        <v>176</v>
      </c>
      <c r="Q229" s="4">
        <f>[2]Arkusz1!Y232</f>
        <v>0</v>
      </c>
      <c r="R229" s="4" t="s">
        <v>64</v>
      </c>
      <c r="S229" s="4" t="s">
        <v>64</v>
      </c>
      <c r="T229" s="4">
        <f>[2]Arkusz1!AA232</f>
        <v>0</v>
      </c>
      <c r="U229" s="4" t="str">
        <f>IF([2]Arkusz1!O232=[2]Arkusz1!$O$7,"Z",IF([2]Arkusz1!O232=[2]Arkusz1!$O$15,"Ix3",IF([2]Arkusz1!O232=[2]Arkusz1!$O$20,"Ix1","Ix2")))</f>
        <v>Ix2</v>
      </c>
      <c r="V229" s="4">
        <f>[2]Arkusz1!AM232</f>
        <v>0</v>
      </c>
      <c r="W229" s="4">
        <f>[2]Arkusz1!AB233</f>
        <v>0</v>
      </c>
      <c r="X229" s="4" t="e">
        <f>_xlfn.TEXTBEFORE([2]Arkusz1!AC233," (")</f>
        <v>#N/A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I229" s="4" t="s">
        <v>546</v>
      </c>
      <c r="AJ229" s="4" t="e">
        <v>#N/A</v>
      </c>
      <c r="AK229" s="4" t="e">
        <v>#N/A</v>
      </c>
      <c r="AL229" s="4" t="e">
        <v>#N/A</v>
      </c>
      <c r="AM229" s="4">
        <v>0</v>
      </c>
      <c r="AN229" s="4">
        <v>0</v>
      </c>
      <c r="AP229" s="4">
        <f>[1]Hist!$X239</f>
        <v>0</v>
      </c>
    </row>
    <row r="230" spans="1:42" x14ac:dyDescent="0.2">
      <c r="A230" s="4">
        <v>229</v>
      </c>
      <c r="B230" s="215">
        <f>[2]Arkusz1!B233</f>
        <v>0</v>
      </c>
      <c r="C230" s="44" t="str">
        <f>_xlfn.CONCAT([2]Arkusz1!G233," ",[2]Arkusz1!H233)</f>
        <v xml:space="preserve"> </v>
      </c>
      <c r="D230" s="4" t="e">
        <f>_xlfn.XLOOKUP(H230,[4]Sheet1!$I$2:$I$40,[4]Sheet1!$Y$2:$Y$40,,2,1)</f>
        <v>#N/A</v>
      </c>
      <c r="E230" s="4" t="e">
        <f>_xlfn.XLOOKUP(H230,[4]Sheet1!$I$2:$I$40,[4]Sheet1!$K$2:$K$40,,2,1)</f>
        <v>#N/A</v>
      </c>
      <c r="F230" s="218" t="e">
        <f>_xlfn.XLOOKUP(H230,[4]Sheet1!$I$2:$I$40,[4]Sheet1!$J$2:$J$40,,2,1)</f>
        <v>#N/A</v>
      </c>
      <c r="G230" s="4">
        <f>[2]Arkusz1!E233</f>
        <v>0</v>
      </c>
      <c r="H230" s="4">
        <f>[2]Arkusz1!J233</f>
        <v>0</v>
      </c>
      <c r="I230" s="213" t="str">
        <f>_xlfn.CONCAT([2]Arkusz1!C233," ",[2]Arkusz1!D233)</f>
        <v xml:space="preserve"> </v>
      </c>
      <c r="J230" s="216">
        <f ca="1">IF(DATEDIF([2]Arkusz1!S233,TODAY(),"Y")&gt;21,0,DATEDIF([2]Arkusz1!S233,TODAY(),"Y"))</f>
        <v>0</v>
      </c>
      <c r="K230" s="4">
        <f>[2]Arkusz1!T233</f>
        <v>0</v>
      </c>
      <c r="L230" s="216">
        <f>[2]Arkusz1!U233</f>
        <v>0</v>
      </c>
      <c r="M230" s="4">
        <f>[2]Arkusz1!P233</f>
        <v>0</v>
      </c>
      <c r="N230" s="4">
        <f>[2]Arkusz1!Q233</f>
        <v>0</v>
      </c>
      <c r="O230" s="4">
        <f>[2]Arkusz1!V233</f>
        <v>0</v>
      </c>
      <c r="P230" s="4">
        <f t="shared" si="5"/>
        <v>176</v>
      </c>
      <c r="Q230" s="4">
        <f>[2]Arkusz1!Y233</f>
        <v>0</v>
      </c>
      <c r="R230" s="4" t="s">
        <v>64</v>
      </c>
      <c r="S230" s="4" t="s">
        <v>64</v>
      </c>
      <c r="T230" s="4">
        <f>[2]Arkusz1!AA233</f>
        <v>0</v>
      </c>
      <c r="U230" s="4" t="str">
        <f>IF([2]Arkusz1!O233=[2]Arkusz1!$O$7,"Z",IF([2]Arkusz1!O233=[2]Arkusz1!$O$15,"Ix3",IF([2]Arkusz1!O233=[2]Arkusz1!$O$20,"Ix1","Ix2")))</f>
        <v>Ix2</v>
      </c>
      <c r="V230" s="4">
        <f>[2]Arkusz1!AM233</f>
        <v>0</v>
      </c>
      <c r="W230" s="4">
        <f>[2]Arkusz1!AB234</f>
        <v>0</v>
      </c>
      <c r="X230" s="4" t="e">
        <f>_xlfn.TEXTBEFORE([2]Arkusz1!AC234," (")</f>
        <v>#N/A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I230" s="4" t="s">
        <v>546</v>
      </c>
      <c r="AJ230" s="4" t="e">
        <v>#N/A</v>
      </c>
      <c r="AK230" s="4" t="e">
        <v>#N/A</v>
      </c>
      <c r="AL230" s="4" t="e">
        <v>#N/A</v>
      </c>
      <c r="AM230" s="4">
        <v>0</v>
      </c>
      <c r="AN230" s="4">
        <v>0</v>
      </c>
      <c r="AP230" s="4">
        <f>[1]Hist!$X240</f>
        <v>0</v>
      </c>
    </row>
    <row r="231" spans="1:42" x14ac:dyDescent="0.2">
      <c r="A231" s="4">
        <v>230</v>
      </c>
      <c r="B231" s="215">
        <f>[2]Arkusz1!B234</f>
        <v>0</v>
      </c>
      <c r="C231" s="44" t="str">
        <f>_xlfn.CONCAT([2]Arkusz1!G234," ",[2]Arkusz1!H234)</f>
        <v xml:space="preserve"> </v>
      </c>
      <c r="D231" s="4" t="e">
        <f>_xlfn.XLOOKUP(H231,[4]Sheet1!$I$2:$I$40,[4]Sheet1!$Y$2:$Y$40,,2,1)</f>
        <v>#N/A</v>
      </c>
      <c r="E231" s="4" t="e">
        <f>_xlfn.XLOOKUP(H231,[4]Sheet1!$I$2:$I$40,[4]Sheet1!$K$2:$K$40,,2,1)</f>
        <v>#N/A</v>
      </c>
      <c r="F231" s="218" t="e">
        <f>_xlfn.XLOOKUP(H231,[4]Sheet1!$I$2:$I$40,[4]Sheet1!$J$2:$J$40,,2,1)</f>
        <v>#N/A</v>
      </c>
      <c r="G231" s="4">
        <f>[2]Arkusz1!E234</f>
        <v>0</v>
      </c>
      <c r="H231" s="4">
        <f>[2]Arkusz1!J234</f>
        <v>0</v>
      </c>
      <c r="I231" s="213" t="str">
        <f>_xlfn.CONCAT([2]Arkusz1!C234," ",[2]Arkusz1!D234)</f>
        <v xml:space="preserve"> </v>
      </c>
      <c r="J231" s="216">
        <f ca="1">IF(DATEDIF([2]Arkusz1!S234,TODAY(),"Y")&gt;21,0,DATEDIF([2]Arkusz1!S234,TODAY(),"Y"))</f>
        <v>0</v>
      </c>
      <c r="K231" s="4">
        <f>[2]Arkusz1!T234</f>
        <v>0</v>
      </c>
      <c r="L231" s="216">
        <f>[2]Arkusz1!U234</f>
        <v>0</v>
      </c>
      <c r="M231" s="4">
        <f>[2]Arkusz1!P234</f>
        <v>0</v>
      </c>
      <c r="N231" s="4">
        <f>[2]Arkusz1!Q234</f>
        <v>0</v>
      </c>
      <c r="O231" s="4">
        <f>[2]Arkusz1!V234</f>
        <v>0</v>
      </c>
      <c r="P231" s="4">
        <f t="shared" si="5"/>
        <v>176</v>
      </c>
      <c r="Q231" s="4">
        <f>[2]Arkusz1!Y234</f>
        <v>0</v>
      </c>
      <c r="R231" s="4" t="s">
        <v>64</v>
      </c>
      <c r="S231" s="4" t="s">
        <v>64</v>
      </c>
      <c r="T231" s="4">
        <f>[2]Arkusz1!AA234</f>
        <v>0</v>
      </c>
      <c r="U231" s="4" t="str">
        <f>IF([2]Arkusz1!O234=[2]Arkusz1!$O$7,"Z",IF([2]Arkusz1!O234=[2]Arkusz1!$O$15,"Ix3",IF([2]Arkusz1!O234=[2]Arkusz1!$O$20,"Ix1","Ix2")))</f>
        <v>Ix2</v>
      </c>
      <c r="V231" s="4">
        <f>[2]Arkusz1!AM234</f>
        <v>0</v>
      </c>
      <c r="W231" s="4">
        <f>[2]Arkusz1!AB235</f>
        <v>0</v>
      </c>
      <c r="X231" s="4" t="e">
        <f>_xlfn.TEXTBEFORE([2]Arkusz1!AC235," (")</f>
        <v>#N/A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I231" s="4" t="s">
        <v>546</v>
      </c>
      <c r="AJ231" s="4" t="e">
        <v>#N/A</v>
      </c>
      <c r="AK231" s="4" t="e">
        <v>#N/A</v>
      </c>
      <c r="AL231" s="4" t="e">
        <v>#N/A</v>
      </c>
      <c r="AM231" s="4">
        <v>0</v>
      </c>
      <c r="AN231" s="4">
        <v>0</v>
      </c>
      <c r="AP231" s="4">
        <f>[1]Hist!$X241</f>
        <v>0</v>
      </c>
    </row>
    <row r="232" spans="1:42" x14ac:dyDescent="0.2">
      <c r="A232" s="4">
        <v>231</v>
      </c>
      <c r="B232" s="215">
        <f>[2]Arkusz1!B235</f>
        <v>0</v>
      </c>
      <c r="C232" s="44" t="str">
        <f>_xlfn.CONCAT([2]Arkusz1!G235," ",[2]Arkusz1!H235)</f>
        <v xml:space="preserve"> </v>
      </c>
      <c r="D232" s="4" t="e">
        <f>_xlfn.XLOOKUP(H232,[4]Sheet1!$I$2:$I$40,[4]Sheet1!$Y$2:$Y$40,,2,1)</f>
        <v>#N/A</v>
      </c>
      <c r="E232" s="4" t="e">
        <f>_xlfn.XLOOKUP(H232,[4]Sheet1!$I$2:$I$40,[4]Sheet1!$K$2:$K$40,,2,1)</f>
        <v>#N/A</v>
      </c>
      <c r="F232" s="218" t="e">
        <f>_xlfn.XLOOKUP(H232,[4]Sheet1!$I$2:$I$40,[4]Sheet1!$J$2:$J$40,,2,1)</f>
        <v>#N/A</v>
      </c>
      <c r="G232" s="4">
        <f>[2]Arkusz1!E235</f>
        <v>0</v>
      </c>
      <c r="H232" s="4">
        <f>[2]Arkusz1!J235</f>
        <v>0</v>
      </c>
      <c r="I232" s="213" t="str">
        <f>_xlfn.CONCAT([2]Arkusz1!C235," ",[2]Arkusz1!D235)</f>
        <v xml:space="preserve"> </v>
      </c>
      <c r="J232" s="216">
        <f ca="1">IF(DATEDIF([2]Arkusz1!S235,TODAY(),"Y")&gt;21,0,DATEDIF([2]Arkusz1!S235,TODAY(),"Y"))</f>
        <v>0</v>
      </c>
      <c r="K232" s="4">
        <f>[2]Arkusz1!T235</f>
        <v>0</v>
      </c>
      <c r="L232" s="216">
        <f>[2]Arkusz1!U235</f>
        <v>0</v>
      </c>
      <c r="M232" s="4">
        <f>[2]Arkusz1!P235</f>
        <v>0</v>
      </c>
      <c r="N232" s="4">
        <f>[2]Arkusz1!Q235</f>
        <v>0</v>
      </c>
      <c r="O232" s="4">
        <f>[2]Arkusz1!V235</f>
        <v>0</v>
      </c>
      <c r="P232" s="4">
        <f t="shared" si="5"/>
        <v>176</v>
      </c>
      <c r="Q232" s="4">
        <f>[2]Arkusz1!Y235</f>
        <v>0</v>
      </c>
      <c r="R232" s="4">
        <v>0</v>
      </c>
      <c r="S232" s="4" t="s">
        <v>64</v>
      </c>
      <c r="T232" s="4">
        <f>[2]Arkusz1!AA235</f>
        <v>0</v>
      </c>
      <c r="U232" s="4" t="str">
        <f>IF([2]Arkusz1!O235=[2]Arkusz1!$O$7,"Z",IF([2]Arkusz1!O235=[2]Arkusz1!$O$15,"Ix3",IF([2]Arkusz1!O235=[2]Arkusz1!$O$20,"Ix1","Ix2")))</f>
        <v>Ix2</v>
      </c>
      <c r="V232" s="4">
        <f>[2]Arkusz1!AM235</f>
        <v>0</v>
      </c>
      <c r="W232" s="4">
        <f>[2]Arkusz1!AB236</f>
        <v>0</v>
      </c>
      <c r="X232" s="4" t="e">
        <f>_xlfn.TEXTBEFORE([2]Arkusz1!AC236," (")</f>
        <v>#N/A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I232" s="4" t="s">
        <v>546</v>
      </c>
      <c r="AJ232" s="4" t="e">
        <v>#N/A</v>
      </c>
      <c r="AK232" s="4" t="e">
        <v>#N/A</v>
      </c>
      <c r="AL232" s="4" t="e">
        <v>#N/A</v>
      </c>
      <c r="AM232" s="4">
        <v>0</v>
      </c>
      <c r="AN232" s="4">
        <v>0</v>
      </c>
      <c r="AP232" s="4">
        <f>[1]Hist!$X242</f>
        <v>0</v>
      </c>
    </row>
    <row r="233" spans="1:42" x14ac:dyDescent="0.2">
      <c r="A233" s="4">
        <v>232</v>
      </c>
      <c r="B233" s="215">
        <f>[2]Arkusz1!B236</f>
        <v>0</v>
      </c>
      <c r="C233" s="44" t="str">
        <f>_xlfn.CONCAT([2]Arkusz1!G236," ",[2]Arkusz1!H236)</f>
        <v xml:space="preserve"> </v>
      </c>
      <c r="D233" s="4" t="e">
        <f>_xlfn.XLOOKUP(H233,[4]Sheet1!$I$2:$I$40,[4]Sheet1!$Y$2:$Y$40,,2,1)</f>
        <v>#N/A</v>
      </c>
      <c r="E233" s="4" t="e">
        <f>_xlfn.XLOOKUP(H233,[4]Sheet1!$I$2:$I$40,[4]Sheet1!$K$2:$K$40,,2,1)</f>
        <v>#N/A</v>
      </c>
      <c r="F233" s="218" t="e">
        <f>_xlfn.XLOOKUP(H233,[4]Sheet1!$I$2:$I$40,[4]Sheet1!$J$2:$J$40,,2,1)</f>
        <v>#N/A</v>
      </c>
      <c r="G233" s="4">
        <f>[2]Arkusz1!E236</f>
        <v>0</v>
      </c>
      <c r="H233" s="4">
        <f>[2]Arkusz1!J236</f>
        <v>0</v>
      </c>
      <c r="I233" s="213" t="str">
        <f>_xlfn.CONCAT([2]Arkusz1!C236," ",[2]Arkusz1!D236)</f>
        <v xml:space="preserve"> </v>
      </c>
      <c r="J233" s="216">
        <f ca="1">IF(DATEDIF([2]Arkusz1!S236,TODAY(),"Y")&gt;21,0,DATEDIF([2]Arkusz1!S236,TODAY(),"Y"))</f>
        <v>0</v>
      </c>
      <c r="K233" s="4">
        <f>[2]Arkusz1!T236</f>
        <v>0</v>
      </c>
      <c r="L233" s="216">
        <f>[2]Arkusz1!U236</f>
        <v>0</v>
      </c>
      <c r="M233" s="4">
        <f>[2]Arkusz1!P236</f>
        <v>0</v>
      </c>
      <c r="N233" s="4">
        <f>[2]Arkusz1!Q236</f>
        <v>0</v>
      </c>
      <c r="O233" s="4">
        <f>[2]Arkusz1!V236</f>
        <v>0</v>
      </c>
      <c r="P233" s="4">
        <f t="shared" si="5"/>
        <v>176</v>
      </c>
      <c r="Q233" s="4">
        <f>[2]Arkusz1!Y236</f>
        <v>0</v>
      </c>
      <c r="R233" s="4">
        <v>0</v>
      </c>
      <c r="S233" s="4" t="s">
        <v>64</v>
      </c>
      <c r="T233" s="4">
        <f>[2]Arkusz1!AA236</f>
        <v>0</v>
      </c>
      <c r="U233" s="4" t="str">
        <f>IF([2]Arkusz1!O236=[2]Arkusz1!$O$7,"Z",IF([2]Arkusz1!O236=[2]Arkusz1!$O$15,"Ix3",IF([2]Arkusz1!O236=[2]Arkusz1!$O$20,"Ix1","Ix2")))</f>
        <v>Ix2</v>
      </c>
      <c r="V233" s="4">
        <f>[2]Arkusz1!AM236</f>
        <v>0</v>
      </c>
      <c r="W233" s="4">
        <f>[2]Arkusz1!AB237</f>
        <v>0</v>
      </c>
      <c r="X233" s="4" t="e">
        <f>_xlfn.TEXTBEFORE([2]Arkusz1!AC237," (")</f>
        <v>#N/A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I233" s="4" t="s">
        <v>546</v>
      </c>
      <c r="AJ233" s="4" t="e">
        <v>#N/A</v>
      </c>
      <c r="AK233" s="4" t="e">
        <v>#N/A</v>
      </c>
      <c r="AL233" s="4" t="e">
        <v>#N/A</v>
      </c>
      <c r="AM233" s="4">
        <v>0</v>
      </c>
      <c r="AN233" s="4">
        <v>0</v>
      </c>
      <c r="AP233" s="4">
        <f>[1]Hist!$X243</f>
        <v>0</v>
      </c>
    </row>
    <row r="234" spans="1:42" x14ac:dyDescent="0.2">
      <c r="A234" s="4">
        <v>233</v>
      </c>
      <c r="B234" s="215">
        <f>[2]Arkusz1!B237</f>
        <v>0</v>
      </c>
      <c r="C234" s="44" t="str">
        <f>_xlfn.CONCAT([2]Arkusz1!G237," ",[2]Arkusz1!H237)</f>
        <v xml:space="preserve"> </v>
      </c>
      <c r="D234" s="4" t="e">
        <f>_xlfn.XLOOKUP(H234,[4]Sheet1!$I$2:$I$40,[4]Sheet1!$Y$2:$Y$40,,2,1)</f>
        <v>#N/A</v>
      </c>
      <c r="E234" s="4" t="e">
        <f>_xlfn.XLOOKUP(H234,[4]Sheet1!$I$2:$I$40,[4]Sheet1!$K$2:$K$40,,2,1)</f>
        <v>#N/A</v>
      </c>
      <c r="F234" s="218" t="e">
        <f>_xlfn.XLOOKUP(H234,[4]Sheet1!$I$2:$I$40,[4]Sheet1!$J$2:$J$40,,2,1)</f>
        <v>#N/A</v>
      </c>
      <c r="G234" s="4">
        <f>[2]Arkusz1!E237</f>
        <v>0</v>
      </c>
      <c r="H234" s="4">
        <f>[2]Arkusz1!J237</f>
        <v>0</v>
      </c>
      <c r="I234" s="213" t="str">
        <f>_xlfn.CONCAT([2]Arkusz1!C237," ",[2]Arkusz1!D237)</f>
        <v xml:space="preserve"> </v>
      </c>
      <c r="J234" s="216">
        <f ca="1">IF(DATEDIF([2]Arkusz1!S237,TODAY(),"Y")&gt;21,0,DATEDIF([2]Arkusz1!S237,TODAY(),"Y"))</f>
        <v>0</v>
      </c>
      <c r="K234" s="4">
        <f>[2]Arkusz1!T237</f>
        <v>0</v>
      </c>
      <c r="L234" s="216">
        <f>[2]Arkusz1!U237</f>
        <v>0</v>
      </c>
      <c r="M234" s="4">
        <f>[2]Arkusz1!P237</f>
        <v>0</v>
      </c>
      <c r="N234" s="4">
        <f>[2]Arkusz1!Q237</f>
        <v>0</v>
      </c>
      <c r="O234" s="4">
        <f>[2]Arkusz1!V237</f>
        <v>0</v>
      </c>
      <c r="P234" s="4">
        <f t="shared" si="5"/>
        <v>176</v>
      </c>
      <c r="Q234" s="4">
        <f>[2]Arkusz1!Y237</f>
        <v>0</v>
      </c>
      <c r="R234" s="4">
        <v>0</v>
      </c>
      <c r="S234" s="4" t="s">
        <v>64</v>
      </c>
      <c r="T234" s="4">
        <f>[2]Arkusz1!AA237</f>
        <v>0</v>
      </c>
      <c r="U234" s="4" t="str">
        <f>IF([2]Arkusz1!O237=[2]Arkusz1!$O$7,"Z",IF([2]Arkusz1!O237=[2]Arkusz1!$O$15,"Ix3",IF([2]Arkusz1!O237=[2]Arkusz1!$O$20,"Ix1","Ix2")))</f>
        <v>Ix2</v>
      </c>
      <c r="V234" s="4">
        <f>[2]Arkusz1!AM237</f>
        <v>0</v>
      </c>
      <c r="W234" s="4">
        <f>[2]Arkusz1!AB238</f>
        <v>0</v>
      </c>
      <c r="X234" s="4" t="e">
        <f>_xlfn.TEXTBEFORE([2]Arkusz1!AC238," (")</f>
        <v>#N/A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I234" s="4" t="s">
        <v>546</v>
      </c>
      <c r="AJ234" s="4" t="e">
        <v>#N/A</v>
      </c>
      <c r="AK234" s="4" t="e">
        <v>#N/A</v>
      </c>
      <c r="AL234" s="4" t="e">
        <v>#N/A</v>
      </c>
      <c r="AM234" s="4">
        <v>0</v>
      </c>
      <c r="AN234" s="4">
        <v>0</v>
      </c>
      <c r="AP234" s="4">
        <f>[1]Hist!$X244</f>
        <v>0</v>
      </c>
    </row>
    <row r="235" spans="1:42" x14ac:dyDescent="0.2">
      <c r="A235" s="4">
        <v>234</v>
      </c>
      <c r="B235" s="215">
        <f>[2]Arkusz1!B238</f>
        <v>0</v>
      </c>
      <c r="C235" s="44" t="str">
        <f>_xlfn.CONCAT([2]Arkusz1!G238," ",[2]Arkusz1!H238)</f>
        <v xml:space="preserve"> </v>
      </c>
      <c r="D235" s="4" t="e">
        <f>_xlfn.XLOOKUP(H235,[4]Sheet1!$I$2:$I$40,[4]Sheet1!$Y$2:$Y$40,,2,1)</f>
        <v>#N/A</v>
      </c>
      <c r="E235" s="4" t="e">
        <f>_xlfn.XLOOKUP(H235,[4]Sheet1!$I$2:$I$40,[4]Sheet1!$K$2:$K$40,,2,1)</f>
        <v>#N/A</v>
      </c>
      <c r="F235" s="218" t="e">
        <f>_xlfn.XLOOKUP(H235,[4]Sheet1!$I$2:$I$40,[4]Sheet1!$J$2:$J$40,,2,1)</f>
        <v>#N/A</v>
      </c>
      <c r="G235" s="4">
        <f>[2]Arkusz1!E238</f>
        <v>0</v>
      </c>
      <c r="H235" s="4">
        <f>[2]Arkusz1!J238</f>
        <v>0</v>
      </c>
      <c r="I235" s="213" t="str">
        <f>_xlfn.CONCAT([2]Arkusz1!C238," ",[2]Arkusz1!D238)</f>
        <v xml:space="preserve"> </v>
      </c>
      <c r="J235" s="216">
        <f ca="1">IF(DATEDIF([2]Arkusz1!S238,TODAY(),"Y")&gt;21,0,DATEDIF([2]Arkusz1!S238,TODAY(),"Y"))</f>
        <v>0</v>
      </c>
      <c r="K235" s="4">
        <f>[2]Arkusz1!T238</f>
        <v>0</v>
      </c>
      <c r="L235" s="216">
        <f>[2]Arkusz1!U238</f>
        <v>0</v>
      </c>
      <c r="M235" s="4">
        <f>[2]Arkusz1!P238</f>
        <v>0</v>
      </c>
      <c r="N235" s="4">
        <f>[2]Arkusz1!Q238</f>
        <v>0</v>
      </c>
      <c r="O235" s="4">
        <f>[2]Arkusz1!V238</f>
        <v>0</v>
      </c>
      <c r="P235" s="4">
        <f t="shared" si="5"/>
        <v>176</v>
      </c>
      <c r="Q235" s="4">
        <f>[2]Arkusz1!Y238</f>
        <v>0</v>
      </c>
      <c r="R235" s="4">
        <v>0</v>
      </c>
      <c r="S235" s="4" t="s">
        <v>64</v>
      </c>
      <c r="T235" s="4">
        <f>[2]Arkusz1!AA238</f>
        <v>0</v>
      </c>
      <c r="U235" s="4" t="str">
        <f>IF([2]Arkusz1!O238=[2]Arkusz1!$O$7,"Z",IF([2]Arkusz1!O238=[2]Arkusz1!$O$15,"Ix3",IF([2]Arkusz1!O238=[2]Arkusz1!$O$20,"Ix1","Ix2")))</f>
        <v>Ix2</v>
      </c>
      <c r="V235" s="4">
        <f>[2]Arkusz1!AM238</f>
        <v>0</v>
      </c>
      <c r="W235" s="4">
        <f>[2]Arkusz1!AB239</f>
        <v>0</v>
      </c>
      <c r="X235" s="4" t="e">
        <f>_xlfn.TEXTBEFORE([2]Arkusz1!AC239," (")</f>
        <v>#N/A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I235" s="4" t="s">
        <v>546</v>
      </c>
      <c r="AJ235" s="4" t="e">
        <v>#N/A</v>
      </c>
      <c r="AK235" s="4" t="e">
        <v>#N/A</v>
      </c>
      <c r="AL235" s="4" t="e">
        <v>#N/A</v>
      </c>
      <c r="AM235" s="4">
        <v>0</v>
      </c>
      <c r="AN235" s="4">
        <v>0</v>
      </c>
      <c r="AP235" s="4">
        <f>[1]Hist!$X245</f>
        <v>0</v>
      </c>
    </row>
    <row r="236" spans="1:42" x14ac:dyDescent="0.2">
      <c r="A236" s="4">
        <v>235</v>
      </c>
      <c r="B236" s="215">
        <f>[2]Arkusz1!B239</f>
        <v>0</v>
      </c>
      <c r="C236" s="44" t="str">
        <f>_xlfn.CONCAT([2]Arkusz1!G239," ",[2]Arkusz1!H239)</f>
        <v xml:space="preserve"> </v>
      </c>
      <c r="D236" s="4" t="e">
        <f>_xlfn.XLOOKUP(H236,[4]Sheet1!$I$2:$I$40,[4]Sheet1!$Y$2:$Y$40,,2,1)</f>
        <v>#N/A</v>
      </c>
      <c r="E236" s="4" t="e">
        <f>_xlfn.XLOOKUP(H236,[4]Sheet1!$I$2:$I$40,[4]Sheet1!$K$2:$K$40,,2,1)</f>
        <v>#N/A</v>
      </c>
      <c r="F236" s="218" t="e">
        <f>_xlfn.XLOOKUP(H236,[4]Sheet1!$I$2:$I$40,[4]Sheet1!$J$2:$J$40,,2,1)</f>
        <v>#N/A</v>
      </c>
      <c r="G236" s="4">
        <f>[2]Arkusz1!E239</f>
        <v>0</v>
      </c>
      <c r="H236" s="4">
        <f>[2]Arkusz1!J239</f>
        <v>0</v>
      </c>
      <c r="I236" s="213" t="str">
        <f>_xlfn.CONCAT([2]Arkusz1!C239," ",[2]Arkusz1!D239)</f>
        <v xml:space="preserve"> </v>
      </c>
      <c r="J236" s="216">
        <f ca="1">IF(DATEDIF([2]Arkusz1!S239,TODAY(),"Y")&gt;21,0,DATEDIF([2]Arkusz1!S239,TODAY(),"Y"))</f>
        <v>0</v>
      </c>
      <c r="K236" s="4">
        <f>[2]Arkusz1!T239</f>
        <v>0</v>
      </c>
      <c r="L236" s="216">
        <f>[2]Arkusz1!U239</f>
        <v>0</v>
      </c>
      <c r="M236" s="4">
        <f>[2]Arkusz1!P239</f>
        <v>0</v>
      </c>
      <c r="N236" s="4">
        <f>[2]Arkusz1!Q239</f>
        <v>0</v>
      </c>
      <c r="O236" s="4">
        <f>[2]Arkusz1!V239</f>
        <v>0</v>
      </c>
      <c r="P236" s="4">
        <f t="shared" si="5"/>
        <v>176</v>
      </c>
      <c r="Q236" s="4">
        <f>[2]Arkusz1!Y239</f>
        <v>0</v>
      </c>
      <c r="R236" s="4">
        <v>0</v>
      </c>
      <c r="S236" s="4" t="s">
        <v>64</v>
      </c>
      <c r="T236" s="4">
        <f>[2]Arkusz1!AA239</f>
        <v>0</v>
      </c>
      <c r="U236" s="4" t="str">
        <f>IF([2]Arkusz1!O239=[2]Arkusz1!$O$7,"Z",IF([2]Arkusz1!O239=[2]Arkusz1!$O$15,"Ix3",IF([2]Arkusz1!O239=[2]Arkusz1!$O$20,"Ix1","Ix2")))</f>
        <v>Ix2</v>
      </c>
      <c r="V236" s="4">
        <f>[2]Arkusz1!AM239</f>
        <v>0</v>
      </c>
      <c r="W236" s="4">
        <f>[2]Arkusz1!AB240</f>
        <v>0</v>
      </c>
      <c r="X236" s="4" t="e">
        <f>_xlfn.TEXTBEFORE([2]Arkusz1!AC240," (")</f>
        <v>#N/A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I236" s="4" t="s">
        <v>546</v>
      </c>
      <c r="AJ236" s="4" t="e">
        <v>#N/A</v>
      </c>
      <c r="AK236" s="4" t="e">
        <v>#N/A</v>
      </c>
      <c r="AL236" s="4" t="e">
        <v>#N/A</v>
      </c>
      <c r="AM236" s="4">
        <v>0</v>
      </c>
      <c r="AN236" s="4">
        <v>0</v>
      </c>
      <c r="AP236" s="4">
        <f>[1]Hist!$X246</f>
        <v>0</v>
      </c>
    </row>
    <row r="237" spans="1:42" x14ac:dyDescent="0.2">
      <c r="A237" s="4">
        <v>236</v>
      </c>
      <c r="B237" s="215">
        <f>[2]Arkusz1!B240</f>
        <v>0</v>
      </c>
      <c r="C237" s="44" t="str">
        <f>_xlfn.CONCAT([2]Arkusz1!G240," ",[2]Arkusz1!H240)</f>
        <v xml:space="preserve"> </v>
      </c>
      <c r="D237" s="4" t="e">
        <f>_xlfn.XLOOKUP(H237,[4]Sheet1!$I$2:$I$40,[4]Sheet1!$Y$2:$Y$40,,2,1)</f>
        <v>#N/A</v>
      </c>
      <c r="E237" s="4" t="e">
        <f>_xlfn.XLOOKUP(H237,[4]Sheet1!$I$2:$I$40,[4]Sheet1!$K$2:$K$40,,2,1)</f>
        <v>#N/A</v>
      </c>
      <c r="F237" s="218" t="e">
        <f>_xlfn.XLOOKUP(H237,[4]Sheet1!$I$2:$I$40,[4]Sheet1!$J$2:$J$40,,2,1)</f>
        <v>#N/A</v>
      </c>
      <c r="G237" s="4">
        <f>[2]Arkusz1!E240</f>
        <v>0</v>
      </c>
      <c r="H237" s="4">
        <f>[2]Arkusz1!J240</f>
        <v>0</v>
      </c>
      <c r="I237" s="213" t="str">
        <f>_xlfn.CONCAT([2]Arkusz1!C240," ",[2]Arkusz1!D240)</f>
        <v xml:space="preserve"> </v>
      </c>
      <c r="J237" s="216">
        <f ca="1">IF(DATEDIF([2]Arkusz1!S240,TODAY(),"Y")&gt;21,0,DATEDIF([2]Arkusz1!S240,TODAY(),"Y"))</f>
        <v>0</v>
      </c>
      <c r="K237" s="4">
        <f>[2]Arkusz1!T240</f>
        <v>0</v>
      </c>
      <c r="L237" s="216">
        <f>[2]Arkusz1!U240</f>
        <v>0</v>
      </c>
      <c r="M237" s="4">
        <f>[2]Arkusz1!P240</f>
        <v>0</v>
      </c>
      <c r="N237" s="4">
        <f>[2]Arkusz1!Q240</f>
        <v>0</v>
      </c>
      <c r="O237" s="4">
        <f>[2]Arkusz1!V240</f>
        <v>0</v>
      </c>
      <c r="P237" s="4">
        <f t="shared" si="5"/>
        <v>176</v>
      </c>
      <c r="Q237" s="4">
        <f>[2]Arkusz1!Y240</f>
        <v>0</v>
      </c>
      <c r="R237" s="4">
        <v>0</v>
      </c>
      <c r="S237" s="4" t="s">
        <v>64</v>
      </c>
      <c r="T237" s="4">
        <f>[2]Arkusz1!AA240</f>
        <v>0</v>
      </c>
      <c r="U237" s="4" t="str">
        <f>IF([2]Arkusz1!O240=[2]Arkusz1!$O$7,"Z",IF([2]Arkusz1!O240=[2]Arkusz1!$O$15,"Ix3",IF([2]Arkusz1!O240=[2]Arkusz1!$O$20,"Ix1","Ix2")))</f>
        <v>Ix2</v>
      </c>
      <c r="V237" s="4">
        <f>[2]Arkusz1!AM240</f>
        <v>0</v>
      </c>
      <c r="W237" s="4">
        <f>[2]Arkusz1!AB241</f>
        <v>0</v>
      </c>
      <c r="X237" s="4" t="e">
        <f>_xlfn.TEXTBEFORE([2]Arkusz1!AC241," (")</f>
        <v>#N/A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I237" s="4" t="s">
        <v>546</v>
      </c>
      <c r="AJ237" s="4" t="e">
        <v>#N/A</v>
      </c>
      <c r="AK237" s="4" t="e">
        <v>#N/A</v>
      </c>
      <c r="AL237" s="4" t="e">
        <v>#N/A</v>
      </c>
      <c r="AM237" s="4">
        <v>0</v>
      </c>
      <c r="AN237" s="4">
        <v>0</v>
      </c>
      <c r="AP237" s="4">
        <f>[1]Hist!$X247</f>
        <v>0</v>
      </c>
    </row>
    <row r="238" spans="1:42" x14ac:dyDescent="0.2">
      <c r="A238" s="4">
        <v>237</v>
      </c>
      <c r="B238" s="215">
        <f>[2]Arkusz1!B241</f>
        <v>0</v>
      </c>
      <c r="C238" s="44" t="str">
        <f>_xlfn.CONCAT([2]Arkusz1!G241," ",[2]Arkusz1!H241)</f>
        <v xml:space="preserve"> </v>
      </c>
      <c r="D238" s="4" t="e">
        <f>_xlfn.XLOOKUP(H238,[4]Sheet1!$I$2:$I$40,[4]Sheet1!$Y$2:$Y$40,,2,1)</f>
        <v>#N/A</v>
      </c>
      <c r="E238" s="4" t="e">
        <f>_xlfn.XLOOKUP(H238,[4]Sheet1!$I$2:$I$40,[4]Sheet1!$K$2:$K$40,,2,1)</f>
        <v>#N/A</v>
      </c>
      <c r="F238" s="218" t="e">
        <f>_xlfn.XLOOKUP(H238,[4]Sheet1!$I$2:$I$40,[4]Sheet1!$J$2:$J$40,,2,1)</f>
        <v>#N/A</v>
      </c>
      <c r="G238" s="4">
        <f>[2]Arkusz1!E241</f>
        <v>0</v>
      </c>
      <c r="H238" s="4">
        <f>[2]Arkusz1!J241</f>
        <v>0</v>
      </c>
      <c r="I238" s="213" t="str">
        <f>_xlfn.CONCAT([2]Arkusz1!C241," ",[2]Arkusz1!D241)</f>
        <v xml:space="preserve"> </v>
      </c>
      <c r="J238" s="216">
        <f ca="1">IF(DATEDIF([2]Arkusz1!S241,TODAY(),"Y")&gt;21,0,DATEDIF([2]Arkusz1!S241,TODAY(),"Y"))</f>
        <v>0</v>
      </c>
      <c r="K238" s="4">
        <f>[2]Arkusz1!T241</f>
        <v>0</v>
      </c>
      <c r="L238" s="216">
        <f>[2]Arkusz1!U241</f>
        <v>0</v>
      </c>
      <c r="M238" s="4">
        <f>[2]Arkusz1!P241</f>
        <v>0</v>
      </c>
      <c r="N238" s="4">
        <f>[2]Arkusz1!Q241</f>
        <v>0</v>
      </c>
      <c r="O238" s="4">
        <f>[2]Arkusz1!V241</f>
        <v>0</v>
      </c>
      <c r="P238" s="4">
        <f t="shared" si="5"/>
        <v>176</v>
      </c>
      <c r="Q238" s="4">
        <f>[2]Arkusz1!Y241</f>
        <v>0</v>
      </c>
      <c r="R238" s="4">
        <v>0</v>
      </c>
      <c r="S238" s="4" t="s">
        <v>64</v>
      </c>
      <c r="T238" s="4">
        <f>[2]Arkusz1!AA241</f>
        <v>0</v>
      </c>
      <c r="U238" s="4" t="str">
        <f>IF([2]Arkusz1!O241=[2]Arkusz1!$O$7,"Z",IF([2]Arkusz1!O241=[2]Arkusz1!$O$15,"Ix3",IF([2]Arkusz1!O241=[2]Arkusz1!$O$20,"Ix1","Ix2")))</f>
        <v>Ix2</v>
      </c>
      <c r="V238" s="4">
        <f>[2]Arkusz1!AM241</f>
        <v>0</v>
      </c>
      <c r="W238" s="4">
        <f>[2]Arkusz1!AB242</f>
        <v>0</v>
      </c>
      <c r="X238" s="4" t="e">
        <f>_xlfn.TEXTBEFORE([2]Arkusz1!AC242," (")</f>
        <v>#N/A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I238" s="4" t="s">
        <v>546</v>
      </c>
      <c r="AJ238" s="4" t="e">
        <v>#N/A</v>
      </c>
      <c r="AK238" s="4" t="e">
        <v>#N/A</v>
      </c>
      <c r="AL238" s="4" t="e">
        <v>#N/A</v>
      </c>
      <c r="AM238" s="4">
        <v>0</v>
      </c>
      <c r="AN238" s="4">
        <v>0</v>
      </c>
      <c r="AP238" s="4">
        <f>[1]Hist!$X248</f>
        <v>0</v>
      </c>
    </row>
    <row r="239" spans="1:42" x14ac:dyDescent="0.2">
      <c r="A239" s="4">
        <v>238</v>
      </c>
      <c r="B239" s="215">
        <f>[2]Arkusz1!B242</f>
        <v>0</v>
      </c>
      <c r="C239" s="44" t="str">
        <f>_xlfn.CONCAT([2]Arkusz1!G242," ",[2]Arkusz1!H242)</f>
        <v xml:space="preserve"> </v>
      </c>
      <c r="D239" s="4" t="e">
        <f>_xlfn.XLOOKUP(H239,[4]Sheet1!$I$2:$I$40,[4]Sheet1!$Y$2:$Y$40,,2,1)</f>
        <v>#N/A</v>
      </c>
      <c r="E239" s="4" t="e">
        <f>_xlfn.XLOOKUP(H239,[4]Sheet1!$I$2:$I$40,[4]Sheet1!$K$2:$K$40,,2,1)</f>
        <v>#N/A</v>
      </c>
      <c r="F239" s="218" t="e">
        <f>_xlfn.XLOOKUP(H239,[4]Sheet1!$I$2:$I$40,[4]Sheet1!$J$2:$J$40,,2,1)</f>
        <v>#N/A</v>
      </c>
      <c r="G239" s="4">
        <f>[2]Arkusz1!E242</f>
        <v>0</v>
      </c>
      <c r="H239" s="4">
        <f>[2]Arkusz1!J242</f>
        <v>0</v>
      </c>
      <c r="I239" s="213" t="str">
        <f>_xlfn.CONCAT([2]Arkusz1!C242," ",[2]Arkusz1!D242)</f>
        <v xml:space="preserve"> </v>
      </c>
      <c r="J239" s="216">
        <f ca="1">IF(DATEDIF([2]Arkusz1!S242,TODAY(),"Y")&gt;21,0,DATEDIF([2]Arkusz1!S242,TODAY(),"Y"))</f>
        <v>0</v>
      </c>
      <c r="K239" s="4">
        <f>[2]Arkusz1!T242</f>
        <v>0</v>
      </c>
      <c r="L239" s="216">
        <f>[2]Arkusz1!U242</f>
        <v>0</v>
      </c>
      <c r="M239" s="4">
        <f>[2]Arkusz1!P242</f>
        <v>0</v>
      </c>
      <c r="N239" s="4">
        <f>[2]Arkusz1!Q242</f>
        <v>0</v>
      </c>
      <c r="O239" s="4">
        <f>[2]Arkusz1!V242</f>
        <v>0</v>
      </c>
      <c r="P239" s="4">
        <f t="shared" si="5"/>
        <v>176</v>
      </c>
      <c r="Q239" s="4">
        <f>[2]Arkusz1!Y242</f>
        <v>0</v>
      </c>
      <c r="R239" s="4">
        <v>0</v>
      </c>
      <c r="S239" s="4" t="s">
        <v>64</v>
      </c>
      <c r="T239" s="4">
        <f>[2]Arkusz1!AA242</f>
        <v>0</v>
      </c>
      <c r="U239" s="4" t="str">
        <f>IF([2]Arkusz1!O242=[2]Arkusz1!$O$7,"Z",IF([2]Arkusz1!O242=[2]Arkusz1!$O$15,"Ix3",IF([2]Arkusz1!O242=[2]Arkusz1!$O$20,"Ix1","Ix2")))</f>
        <v>Ix2</v>
      </c>
      <c r="V239" s="4">
        <f>[2]Arkusz1!AM242</f>
        <v>0</v>
      </c>
      <c r="W239" s="4">
        <f>[2]Arkusz1!AB243</f>
        <v>0</v>
      </c>
      <c r="X239" s="4" t="e">
        <f>_xlfn.TEXTBEFORE([2]Arkusz1!AC243," (")</f>
        <v>#N/A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I239" s="4" t="s">
        <v>546</v>
      </c>
      <c r="AJ239" s="4" t="e">
        <v>#N/A</v>
      </c>
      <c r="AK239" s="4" t="e">
        <v>#N/A</v>
      </c>
      <c r="AL239" s="4" t="e">
        <v>#N/A</v>
      </c>
      <c r="AM239" s="4">
        <v>0</v>
      </c>
      <c r="AN239" s="4">
        <v>0</v>
      </c>
      <c r="AP239" s="4">
        <f>[1]Hist!$X249</f>
        <v>0</v>
      </c>
    </row>
    <row r="240" spans="1:42" x14ac:dyDescent="0.2">
      <c r="A240" s="4">
        <v>239</v>
      </c>
      <c r="B240" s="215">
        <f>[2]Arkusz1!B243</f>
        <v>0</v>
      </c>
      <c r="C240" s="44" t="str">
        <f>_xlfn.CONCAT([2]Arkusz1!G243," ",[2]Arkusz1!H243)</f>
        <v xml:space="preserve"> </v>
      </c>
      <c r="D240" s="4" t="e">
        <f>_xlfn.XLOOKUP(H240,[4]Sheet1!$I$2:$I$40,[4]Sheet1!$Y$2:$Y$40,,2,1)</f>
        <v>#N/A</v>
      </c>
      <c r="E240" s="4" t="e">
        <f>_xlfn.XLOOKUP(H240,[4]Sheet1!$I$2:$I$40,[4]Sheet1!$K$2:$K$40,,2,1)</f>
        <v>#N/A</v>
      </c>
      <c r="F240" s="218" t="e">
        <f>_xlfn.XLOOKUP(H240,[4]Sheet1!$I$2:$I$40,[4]Sheet1!$J$2:$J$40,,2,1)</f>
        <v>#N/A</v>
      </c>
      <c r="G240" s="4">
        <f>[2]Arkusz1!E243</f>
        <v>0</v>
      </c>
      <c r="H240" s="4">
        <f>[2]Arkusz1!J243</f>
        <v>0</v>
      </c>
      <c r="I240" s="213" t="str">
        <f>_xlfn.CONCAT([2]Arkusz1!C243," ",[2]Arkusz1!D243)</f>
        <v xml:space="preserve"> </v>
      </c>
      <c r="J240" s="216">
        <f ca="1">IF(DATEDIF([2]Arkusz1!S243,TODAY(),"Y")&gt;21,0,DATEDIF([2]Arkusz1!S243,TODAY(),"Y"))</f>
        <v>0</v>
      </c>
      <c r="K240" s="4">
        <f>[2]Arkusz1!T243</f>
        <v>0</v>
      </c>
      <c r="L240" s="216">
        <f>[2]Arkusz1!U243</f>
        <v>0</v>
      </c>
      <c r="M240" s="4">
        <f>[2]Arkusz1!P243</f>
        <v>0</v>
      </c>
      <c r="N240" s="4">
        <f>[2]Arkusz1!Q243</f>
        <v>0</v>
      </c>
      <c r="O240" s="4">
        <f>[2]Arkusz1!V243</f>
        <v>0</v>
      </c>
      <c r="P240" s="4">
        <f t="shared" si="5"/>
        <v>176</v>
      </c>
      <c r="Q240" s="4">
        <f>[2]Arkusz1!Y243</f>
        <v>0</v>
      </c>
      <c r="R240" s="4">
        <v>0</v>
      </c>
      <c r="S240" s="4" t="s">
        <v>64</v>
      </c>
      <c r="T240" s="4">
        <f>[2]Arkusz1!AA243</f>
        <v>0</v>
      </c>
      <c r="U240" s="4" t="str">
        <f>IF([2]Arkusz1!O243=[2]Arkusz1!$O$7,"Z",IF([2]Arkusz1!O243=[2]Arkusz1!$O$15,"Ix3",IF([2]Arkusz1!O243=[2]Arkusz1!$O$20,"Ix1","Ix2")))</f>
        <v>Ix2</v>
      </c>
      <c r="V240" s="4">
        <f>[2]Arkusz1!AM243</f>
        <v>0</v>
      </c>
      <c r="W240" s="4">
        <f>[2]Arkusz1!AB244</f>
        <v>0</v>
      </c>
      <c r="X240" s="4" t="e">
        <f>_xlfn.TEXTBEFORE([2]Arkusz1!AC244," (")</f>
        <v>#N/A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I240" s="4" t="s">
        <v>546</v>
      </c>
      <c r="AJ240" s="4" t="e">
        <v>#N/A</v>
      </c>
      <c r="AK240" s="4" t="e">
        <v>#N/A</v>
      </c>
      <c r="AL240" s="4" t="e">
        <v>#N/A</v>
      </c>
      <c r="AM240" s="4">
        <v>0</v>
      </c>
      <c r="AN240" s="4">
        <v>0</v>
      </c>
      <c r="AP240" s="4">
        <f>[1]Hist!$X250</f>
        <v>0</v>
      </c>
    </row>
    <row r="241" spans="1:42" x14ac:dyDescent="0.2">
      <c r="A241" s="4">
        <v>240</v>
      </c>
      <c r="B241" s="215">
        <f>[2]Arkusz1!B244</f>
        <v>0</v>
      </c>
      <c r="C241" s="44" t="str">
        <f>_xlfn.CONCAT([2]Arkusz1!G244," ",[2]Arkusz1!H244)</f>
        <v xml:space="preserve"> </v>
      </c>
      <c r="D241" s="4" t="e">
        <f>_xlfn.XLOOKUP(H241,[4]Sheet1!$I$2:$I$40,[4]Sheet1!$Y$2:$Y$40,,2,1)</f>
        <v>#N/A</v>
      </c>
      <c r="E241" s="4" t="e">
        <f>_xlfn.XLOOKUP(H241,[4]Sheet1!$I$2:$I$40,[4]Sheet1!$K$2:$K$40,,2,1)</f>
        <v>#N/A</v>
      </c>
      <c r="F241" s="218" t="e">
        <f>_xlfn.XLOOKUP(H241,[4]Sheet1!$I$2:$I$40,[4]Sheet1!$J$2:$J$40,,2,1)</f>
        <v>#N/A</v>
      </c>
      <c r="G241" s="4">
        <f>[2]Arkusz1!E244</f>
        <v>0</v>
      </c>
      <c r="H241" s="4">
        <f>[2]Arkusz1!J244</f>
        <v>0</v>
      </c>
      <c r="I241" s="213" t="str">
        <f>_xlfn.CONCAT([2]Arkusz1!C244," ",[2]Arkusz1!D244)</f>
        <v xml:space="preserve"> </v>
      </c>
      <c r="J241" s="216">
        <f ca="1">IF(DATEDIF([2]Arkusz1!S244,TODAY(),"Y")&gt;21,0,DATEDIF([2]Arkusz1!S244,TODAY(),"Y"))</f>
        <v>0</v>
      </c>
      <c r="K241" s="4">
        <f>[2]Arkusz1!T244</f>
        <v>0</v>
      </c>
      <c r="L241" s="216">
        <f>[2]Arkusz1!U244</f>
        <v>0</v>
      </c>
      <c r="M241" s="4">
        <f>[2]Arkusz1!P244</f>
        <v>0</v>
      </c>
      <c r="N241" s="4">
        <f>[2]Arkusz1!Q244</f>
        <v>0</v>
      </c>
      <c r="O241" s="4">
        <f>[2]Arkusz1!V244</f>
        <v>0</v>
      </c>
      <c r="P241" s="4">
        <f t="shared" si="5"/>
        <v>176</v>
      </c>
      <c r="Q241" s="4">
        <f>[2]Arkusz1!Y244</f>
        <v>0</v>
      </c>
      <c r="R241" s="4">
        <v>0</v>
      </c>
      <c r="S241" s="4" t="s">
        <v>64</v>
      </c>
      <c r="T241" s="4">
        <f>[2]Arkusz1!AA244</f>
        <v>0</v>
      </c>
      <c r="U241" s="4" t="str">
        <f>IF([2]Arkusz1!O244=[2]Arkusz1!$O$7,"Z",IF([2]Arkusz1!O244=[2]Arkusz1!$O$15,"Ix3",IF([2]Arkusz1!O244=[2]Arkusz1!$O$20,"Ix1","Ix2")))</f>
        <v>Ix2</v>
      </c>
      <c r="V241" s="4">
        <f>[2]Arkusz1!AM244</f>
        <v>0</v>
      </c>
      <c r="W241" s="4">
        <f>[2]Arkusz1!AB245</f>
        <v>0</v>
      </c>
      <c r="X241" s="4" t="e">
        <f>_xlfn.TEXTBEFORE([2]Arkusz1!AC245," (")</f>
        <v>#N/A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I241" s="4" t="s">
        <v>546</v>
      </c>
      <c r="AJ241" s="4" t="e">
        <v>#N/A</v>
      </c>
      <c r="AK241" s="4" t="e">
        <v>#N/A</v>
      </c>
      <c r="AL241" s="4" t="e">
        <v>#N/A</v>
      </c>
      <c r="AM241" s="4">
        <v>0</v>
      </c>
      <c r="AN241" s="4">
        <v>0</v>
      </c>
      <c r="AP241" s="4">
        <f>[1]Hist!$X251</f>
        <v>0</v>
      </c>
    </row>
    <row r="242" spans="1:42" x14ac:dyDescent="0.2">
      <c r="A242" s="4">
        <v>241</v>
      </c>
      <c r="B242" s="215">
        <f>[2]Arkusz1!B245</f>
        <v>0</v>
      </c>
      <c r="C242" s="44" t="str">
        <f>_xlfn.CONCAT([2]Arkusz1!G245," ",[2]Arkusz1!H245)</f>
        <v xml:space="preserve"> </v>
      </c>
      <c r="D242" s="4" t="e">
        <f>_xlfn.XLOOKUP(H242,[4]Sheet1!$I$2:$I$40,[4]Sheet1!$Y$2:$Y$40,,2,1)</f>
        <v>#N/A</v>
      </c>
      <c r="E242" s="4" t="e">
        <f>_xlfn.XLOOKUP(H242,[4]Sheet1!$I$2:$I$40,[4]Sheet1!$K$2:$K$40,,2,1)</f>
        <v>#N/A</v>
      </c>
      <c r="F242" s="218" t="e">
        <f>_xlfn.XLOOKUP(H242,[4]Sheet1!$I$2:$I$40,[4]Sheet1!$J$2:$J$40,,2,1)</f>
        <v>#N/A</v>
      </c>
      <c r="G242" s="4">
        <f>[2]Arkusz1!E245</f>
        <v>0</v>
      </c>
      <c r="H242" s="4">
        <f>[2]Arkusz1!J245</f>
        <v>0</v>
      </c>
      <c r="I242" s="213" t="str">
        <f>_xlfn.CONCAT([2]Arkusz1!C245," ",[2]Arkusz1!D245)</f>
        <v xml:space="preserve"> </v>
      </c>
      <c r="J242" s="216">
        <f ca="1">IF(DATEDIF([2]Arkusz1!S245,TODAY(),"Y")&gt;21,0,DATEDIF([2]Arkusz1!S245,TODAY(),"Y"))</f>
        <v>0</v>
      </c>
      <c r="K242" s="4">
        <f>[2]Arkusz1!T245</f>
        <v>0</v>
      </c>
      <c r="L242" s="216">
        <f>[2]Arkusz1!U245</f>
        <v>0</v>
      </c>
      <c r="M242" s="4">
        <f>[2]Arkusz1!P245</f>
        <v>0</v>
      </c>
      <c r="N242" s="4">
        <f>[2]Arkusz1!Q245</f>
        <v>0</v>
      </c>
      <c r="O242" s="4">
        <f>[2]Arkusz1!V245</f>
        <v>0</v>
      </c>
      <c r="P242" s="4">
        <f t="shared" si="5"/>
        <v>176</v>
      </c>
      <c r="Q242" s="4">
        <f>[2]Arkusz1!Y245</f>
        <v>0</v>
      </c>
      <c r="R242" s="4">
        <v>0</v>
      </c>
      <c r="S242" s="4" t="s">
        <v>64</v>
      </c>
      <c r="T242" s="4">
        <f>[2]Arkusz1!AA245</f>
        <v>0</v>
      </c>
      <c r="U242" s="4" t="str">
        <f>IF([2]Arkusz1!O245=[2]Arkusz1!$O$7,"Z",IF([2]Arkusz1!O245=[2]Arkusz1!$O$15,"Ix3",IF([2]Arkusz1!O245=[2]Arkusz1!$O$20,"Ix1","Ix2")))</f>
        <v>Ix2</v>
      </c>
      <c r="V242" s="4">
        <f>[2]Arkusz1!AM245</f>
        <v>0</v>
      </c>
      <c r="W242" s="4">
        <f>[2]Arkusz1!AB246</f>
        <v>0</v>
      </c>
      <c r="X242" s="4" t="e">
        <f>_xlfn.TEXTBEFORE([2]Arkusz1!AC246," (")</f>
        <v>#N/A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I242" s="4" t="s">
        <v>546</v>
      </c>
      <c r="AJ242" s="4" t="e">
        <v>#N/A</v>
      </c>
      <c r="AK242" s="4" t="e">
        <v>#N/A</v>
      </c>
      <c r="AL242" s="4" t="e">
        <v>#N/A</v>
      </c>
      <c r="AM242" s="4">
        <v>0</v>
      </c>
      <c r="AN242" s="4">
        <v>0</v>
      </c>
      <c r="AP242" s="4">
        <f>[1]Hist!$X252</f>
        <v>0</v>
      </c>
    </row>
    <row r="243" spans="1:42" x14ac:dyDescent="0.2">
      <c r="A243" s="4">
        <v>242</v>
      </c>
      <c r="B243" s="215">
        <f>[2]Arkusz1!B246</f>
        <v>0</v>
      </c>
      <c r="C243" s="44" t="str">
        <f>_xlfn.CONCAT([2]Arkusz1!G246," ",[2]Arkusz1!H246)</f>
        <v xml:space="preserve"> </v>
      </c>
      <c r="D243" s="4" t="e">
        <f>_xlfn.XLOOKUP(H243,[4]Sheet1!$I$2:$I$40,[4]Sheet1!$Y$2:$Y$40,,2,1)</f>
        <v>#N/A</v>
      </c>
      <c r="E243" s="4" t="e">
        <f>_xlfn.XLOOKUP(H243,[4]Sheet1!$I$2:$I$40,[4]Sheet1!$K$2:$K$40,,2,1)</f>
        <v>#N/A</v>
      </c>
      <c r="F243" s="218" t="e">
        <f>_xlfn.XLOOKUP(H243,[4]Sheet1!$I$2:$I$40,[4]Sheet1!$J$2:$J$40,,2,1)</f>
        <v>#N/A</v>
      </c>
      <c r="G243" s="4">
        <f>[2]Arkusz1!E246</f>
        <v>0</v>
      </c>
      <c r="H243" s="4">
        <f>[2]Arkusz1!J246</f>
        <v>0</v>
      </c>
      <c r="I243" s="213" t="str">
        <f>_xlfn.CONCAT([2]Arkusz1!C246," ",[2]Arkusz1!D246)</f>
        <v xml:space="preserve"> </v>
      </c>
      <c r="J243" s="216">
        <f ca="1">IF(DATEDIF([2]Arkusz1!S246,TODAY(),"Y")&gt;21,0,DATEDIF([2]Arkusz1!S246,TODAY(),"Y"))</f>
        <v>0</v>
      </c>
      <c r="K243" s="4">
        <f>[2]Arkusz1!T246</f>
        <v>0</v>
      </c>
      <c r="L243" s="216">
        <f>[2]Arkusz1!U246</f>
        <v>0</v>
      </c>
      <c r="M243" s="4">
        <f>[2]Arkusz1!P246</f>
        <v>0</v>
      </c>
      <c r="N243" s="4">
        <f>[2]Arkusz1!Q246</f>
        <v>0</v>
      </c>
      <c r="O243" s="4">
        <f>[2]Arkusz1!V246</f>
        <v>0</v>
      </c>
      <c r="P243" s="4">
        <f t="shared" si="5"/>
        <v>176</v>
      </c>
      <c r="Q243" s="4">
        <f>[2]Arkusz1!Y246</f>
        <v>0</v>
      </c>
      <c r="R243" s="4">
        <v>0</v>
      </c>
      <c r="S243" s="4" t="s">
        <v>64</v>
      </c>
      <c r="T243" s="4">
        <f>[2]Arkusz1!AA246</f>
        <v>0</v>
      </c>
      <c r="U243" s="4" t="str">
        <f>IF([2]Arkusz1!O246=[2]Arkusz1!$O$7,"Z",IF([2]Arkusz1!O246=[2]Arkusz1!$O$15,"Ix3",IF([2]Arkusz1!O246=[2]Arkusz1!$O$20,"Ix1","Ix2")))</f>
        <v>Ix2</v>
      </c>
      <c r="V243" s="4">
        <f>[2]Arkusz1!AM246</f>
        <v>0</v>
      </c>
      <c r="W243" s="4">
        <f>[2]Arkusz1!AB247</f>
        <v>0</v>
      </c>
      <c r="X243" s="4" t="e">
        <f>_xlfn.TEXTBEFORE([2]Arkusz1!AC247," (")</f>
        <v>#N/A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I243" s="4" t="s">
        <v>546</v>
      </c>
      <c r="AJ243" s="4" t="e">
        <v>#N/A</v>
      </c>
      <c r="AK243" s="4" t="e">
        <v>#N/A</v>
      </c>
      <c r="AL243" s="4" t="e">
        <v>#N/A</v>
      </c>
      <c r="AM243" s="4">
        <v>0</v>
      </c>
      <c r="AN243" s="4">
        <v>0</v>
      </c>
      <c r="AP243" s="4">
        <f>[1]Hist!$X253</f>
        <v>0</v>
      </c>
    </row>
    <row r="244" spans="1:42" x14ac:dyDescent="0.2">
      <c r="A244" s="4">
        <v>243</v>
      </c>
      <c r="B244" s="215">
        <f>[2]Arkusz1!B247</f>
        <v>0</v>
      </c>
      <c r="C244" s="44" t="str">
        <f>_xlfn.CONCAT([2]Arkusz1!G247," ",[2]Arkusz1!H247)</f>
        <v xml:space="preserve"> </v>
      </c>
      <c r="D244" s="4" t="e">
        <f>_xlfn.XLOOKUP(H244,[4]Sheet1!$I$2:$I$40,[4]Sheet1!$Y$2:$Y$40,,2,1)</f>
        <v>#N/A</v>
      </c>
      <c r="E244" s="4" t="e">
        <f>_xlfn.XLOOKUP(H244,[4]Sheet1!$I$2:$I$40,[4]Sheet1!$K$2:$K$40,,2,1)</f>
        <v>#N/A</v>
      </c>
      <c r="F244" s="218" t="e">
        <f>_xlfn.XLOOKUP(H244,[4]Sheet1!$I$2:$I$40,[4]Sheet1!$J$2:$J$40,,2,1)</f>
        <v>#N/A</v>
      </c>
      <c r="G244" s="4">
        <f>[2]Arkusz1!E247</f>
        <v>0</v>
      </c>
      <c r="H244" s="4">
        <f>[2]Arkusz1!J247</f>
        <v>0</v>
      </c>
      <c r="I244" s="213" t="str">
        <f>_xlfn.CONCAT([2]Arkusz1!C247," ",[2]Arkusz1!D247)</f>
        <v xml:space="preserve"> </v>
      </c>
      <c r="J244" s="216">
        <f ca="1">IF(DATEDIF([2]Arkusz1!S247,TODAY(),"Y")&gt;21,0,DATEDIF([2]Arkusz1!S247,TODAY(),"Y"))</f>
        <v>0</v>
      </c>
      <c r="K244" s="4">
        <f>[2]Arkusz1!T247</f>
        <v>0</v>
      </c>
      <c r="L244" s="216">
        <f>[2]Arkusz1!U247</f>
        <v>0</v>
      </c>
      <c r="M244" s="4">
        <f>[2]Arkusz1!P247</f>
        <v>0</v>
      </c>
      <c r="N244" s="4">
        <f>[2]Arkusz1!Q247</f>
        <v>0</v>
      </c>
      <c r="O244" s="4">
        <f>[2]Arkusz1!V247</f>
        <v>0</v>
      </c>
      <c r="P244" s="4">
        <f t="shared" si="5"/>
        <v>176</v>
      </c>
      <c r="Q244" s="4">
        <f>[2]Arkusz1!Y247</f>
        <v>0</v>
      </c>
      <c r="R244" s="4">
        <v>0</v>
      </c>
      <c r="S244" s="4" t="s">
        <v>64</v>
      </c>
      <c r="T244" s="4">
        <f>[2]Arkusz1!AA247</f>
        <v>0</v>
      </c>
      <c r="U244" s="4" t="str">
        <f>IF([2]Arkusz1!O247=[2]Arkusz1!$O$7,"Z",IF([2]Arkusz1!O247=[2]Arkusz1!$O$15,"Ix3",IF([2]Arkusz1!O247=[2]Arkusz1!$O$20,"Ix1","Ix2")))</f>
        <v>Ix2</v>
      </c>
      <c r="V244" s="4">
        <f>[2]Arkusz1!AM247</f>
        <v>0</v>
      </c>
      <c r="W244" s="4">
        <f>[2]Arkusz1!AB248</f>
        <v>0</v>
      </c>
      <c r="X244" s="4" t="e">
        <f>_xlfn.TEXTBEFORE([2]Arkusz1!AC248," (")</f>
        <v>#N/A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I244" s="4" t="s">
        <v>546</v>
      </c>
      <c r="AJ244" s="4" t="e">
        <v>#N/A</v>
      </c>
      <c r="AK244" s="4" t="e">
        <v>#N/A</v>
      </c>
      <c r="AL244" s="4" t="e">
        <v>#N/A</v>
      </c>
      <c r="AM244" s="4">
        <v>0</v>
      </c>
      <c r="AN244" s="4">
        <v>0</v>
      </c>
      <c r="AP244" s="4">
        <f>[1]Hist!$X254</f>
        <v>0</v>
      </c>
    </row>
    <row r="245" spans="1:42" x14ac:dyDescent="0.2">
      <c r="A245" s="4">
        <v>244</v>
      </c>
      <c r="B245" s="215">
        <f>[2]Arkusz1!B248</f>
        <v>0</v>
      </c>
      <c r="C245" s="44" t="str">
        <f>_xlfn.CONCAT([2]Arkusz1!G248," ",[2]Arkusz1!H248)</f>
        <v xml:space="preserve"> </v>
      </c>
      <c r="D245" s="4" t="e">
        <f>_xlfn.XLOOKUP(H245,[4]Sheet1!$I$2:$I$40,[4]Sheet1!$Y$2:$Y$40,,2,1)</f>
        <v>#N/A</v>
      </c>
      <c r="E245" s="4" t="e">
        <f>_xlfn.XLOOKUP(H245,[4]Sheet1!$I$2:$I$40,[4]Sheet1!$K$2:$K$40,,2,1)</f>
        <v>#N/A</v>
      </c>
      <c r="F245" s="218" t="e">
        <f>_xlfn.XLOOKUP(H245,[4]Sheet1!$I$2:$I$40,[4]Sheet1!$J$2:$J$40,,2,1)</f>
        <v>#N/A</v>
      </c>
      <c r="G245" s="4">
        <f>[2]Arkusz1!E248</f>
        <v>0</v>
      </c>
      <c r="H245" s="4">
        <f>[2]Arkusz1!J248</f>
        <v>0</v>
      </c>
      <c r="I245" s="213" t="str">
        <f>_xlfn.CONCAT([2]Arkusz1!C248," ",[2]Arkusz1!D248)</f>
        <v xml:space="preserve"> </v>
      </c>
      <c r="J245" s="216">
        <f ca="1">IF(DATEDIF([2]Arkusz1!S248,TODAY(),"Y")&gt;21,0,DATEDIF([2]Arkusz1!S248,TODAY(),"Y"))</f>
        <v>0</v>
      </c>
      <c r="K245" s="4">
        <f>[2]Arkusz1!T248</f>
        <v>0</v>
      </c>
      <c r="L245" s="216">
        <f>[2]Arkusz1!U248</f>
        <v>0</v>
      </c>
      <c r="M245" s="4">
        <f>[2]Arkusz1!P248</f>
        <v>0</v>
      </c>
      <c r="N245" s="4">
        <f>[2]Arkusz1!Q248</f>
        <v>0</v>
      </c>
      <c r="O245" s="4">
        <f>[2]Arkusz1!V248</f>
        <v>0</v>
      </c>
      <c r="P245" s="4">
        <f t="shared" si="5"/>
        <v>176</v>
      </c>
      <c r="Q245" s="4">
        <f>[2]Arkusz1!Y248</f>
        <v>0</v>
      </c>
      <c r="R245" s="4">
        <v>0</v>
      </c>
      <c r="S245" s="4" t="s">
        <v>64</v>
      </c>
      <c r="T245" s="4">
        <f>[2]Arkusz1!AA248</f>
        <v>0</v>
      </c>
      <c r="U245" s="4" t="str">
        <f>IF([2]Arkusz1!O248=[2]Arkusz1!$O$7,"Z",IF([2]Arkusz1!O248=[2]Arkusz1!$O$15,"Ix3",IF([2]Arkusz1!O248=[2]Arkusz1!$O$20,"Ix1","Ix2")))</f>
        <v>Ix2</v>
      </c>
      <c r="V245" s="4">
        <f>[2]Arkusz1!AM248</f>
        <v>0</v>
      </c>
      <c r="W245" s="4">
        <f>[2]Arkusz1!AB249</f>
        <v>0</v>
      </c>
      <c r="X245" s="4" t="e">
        <f>_xlfn.TEXTBEFORE([2]Arkusz1!AC249," (")</f>
        <v>#N/A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I245" s="4" t="s">
        <v>546</v>
      </c>
      <c r="AJ245" s="4" t="e">
        <v>#N/A</v>
      </c>
      <c r="AK245" s="4" t="e">
        <v>#N/A</v>
      </c>
      <c r="AL245" s="4" t="e">
        <v>#N/A</v>
      </c>
      <c r="AM245" s="4">
        <v>0</v>
      </c>
      <c r="AN245" s="4">
        <v>0</v>
      </c>
      <c r="AP245" s="4">
        <f>[1]Hist!$X255</f>
        <v>0</v>
      </c>
    </row>
    <row r="246" spans="1:42" x14ac:dyDescent="0.2">
      <c r="A246" s="4">
        <v>245</v>
      </c>
      <c r="B246" s="215">
        <f>[2]Arkusz1!B249</f>
        <v>0</v>
      </c>
      <c r="C246" s="44" t="str">
        <f>_xlfn.CONCAT([2]Arkusz1!G249," ",[2]Arkusz1!H249)</f>
        <v xml:space="preserve"> </v>
      </c>
      <c r="D246" s="4" t="e">
        <f>_xlfn.XLOOKUP(H246,[4]Sheet1!$I$2:$I$40,[4]Sheet1!$Y$2:$Y$40,,2,1)</f>
        <v>#N/A</v>
      </c>
      <c r="E246" s="4" t="e">
        <f>_xlfn.XLOOKUP(H246,[4]Sheet1!$I$2:$I$40,[4]Sheet1!$K$2:$K$40,,2,1)</f>
        <v>#N/A</v>
      </c>
      <c r="F246" s="218" t="e">
        <f>_xlfn.XLOOKUP(H246,[4]Sheet1!$I$2:$I$40,[4]Sheet1!$J$2:$J$40,,2,1)</f>
        <v>#N/A</v>
      </c>
      <c r="G246" s="4">
        <f>[2]Arkusz1!E249</f>
        <v>0</v>
      </c>
      <c r="H246" s="4">
        <f>[2]Arkusz1!J249</f>
        <v>0</v>
      </c>
      <c r="I246" s="213" t="str">
        <f>_xlfn.CONCAT([2]Arkusz1!C249," ",[2]Arkusz1!D249)</f>
        <v xml:space="preserve"> </v>
      </c>
      <c r="J246" s="216">
        <f ca="1">IF(DATEDIF([2]Arkusz1!S249,TODAY(),"Y")&gt;21,0,DATEDIF([2]Arkusz1!S249,TODAY(),"Y"))</f>
        <v>0</v>
      </c>
      <c r="K246" s="4">
        <f>[2]Arkusz1!T249</f>
        <v>0</v>
      </c>
      <c r="L246" s="216">
        <f>[2]Arkusz1!U249</f>
        <v>0</v>
      </c>
      <c r="M246" s="4">
        <f>[2]Arkusz1!P249</f>
        <v>0</v>
      </c>
      <c r="N246" s="4">
        <f>[2]Arkusz1!Q249</f>
        <v>0</v>
      </c>
      <c r="O246" s="4">
        <f>[2]Arkusz1!V249</f>
        <v>0</v>
      </c>
      <c r="P246" s="4">
        <f t="shared" si="5"/>
        <v>176</v>
      </c>
      <c r="Q246" s="4">
        <f>[2]Arkusz1!Y249</f>
        <v>0</v>
      </c>
      <c r="R246" s="4">
        <v>0</v>
      </c>
      <c r="S246" s="4" t="s">
        <v>64</v>
      </c>
      <c r="T246" s="4">
        <f>[2]Arkusz1!AA249</f>
        <v>0</v>
      </c>
      <c r="U246" s="4" t="str">
        <f>IF([2]Arkusz1!O249=[2]Arkusz1!$O$7,"Z",IF([2]Arkusz1!O249=[2]Arkusz1!$O$15,"Ix3",IF([2]Arkusz1!O249=[2]Arkusz1!$O$20,"Ix1","Ix2")))</f>
        <v>Ix2</v>
      </c>
      <c r="V246" s="4">
        <f>[2]Arkusz1!AM249</f>
        <v>0</v>
      </c>
      <c r="W246" s="4">
        <f>[2]Arkusz1!AB250</f>
        <v>0</v>
      </c>
      <c r="X246" s="4" t="e">
        <f>_xlfn.TEXTBEFORE([2]Arkusz1!AC250," (")</f>
        <v>#N/A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I246" s="4" t="s">
        <v>546</v>
      </c>
      <c r="AJ246" s="4" t="e">
        <v>#N/A</v>
      </c>
      <c r="AK246" s="4" t="e">
        <v>#N/A</v>
      </c>
      <c r="AL246" s="4" t="e">
        <v>#N/A</v>
      </c>
      <c r="AM246" s="4">
        <v>0</v>
      </c>
      <c r="AN246" s="4">
        <v>0</v>
      </c>
      <c r="AP246" s="4">
        <f>[1]Hist!$X256</f>
        <v>0</v>
      </c>
    </row>
    <row r="247" spans="1:42" x14ac:dyDescent="0.2">
      <c r="A247" s="4">
        <v>246</v>
      </c>
      <c r="B247" s="215">
        <f>[2]Arkusz1!B250</f>
        <v>0</v>
      </c>
      <c r="C247" s="44" t="str">
        <f>_xlfn.CONCAT([2]Arkusz1!G250," ",[2]Arkusz1!H250)</f>
        <v xml:space="preserve"> </v>
      </c>
      <c r="D247" s="4" t="e">
        <f>_xlfn.XLOOKUP(H247,[4]Sheet1!$I$2:$I$40,[4]Sheet1!$Y$2:$Y$40,,2,1)</f>
        <v>#N/A</v>
      </c>
      <c r="E247" s="4" t="e">
        <f>_xlfn.XLOOKUP(H247,[4]Sheet1!$I$2:$I$40,[4]Sheet1!$K$2:$K$40,,2,1)</f>
        <v>#N/A</v>
      </c>
      <c r="F247" s="218" t="e">
        <f>_xlfn.XLOOKUP(H247,[4]Sheet1!$I$2:$I$40,[4]Sheet1!$J$2:$J$40,,2,1)</f>
        <v>#N/A</v>
      </c>
      <c r="G247" s="4">
        <f>[2]Arkusz1!E250</f>
        <v>0</v>
      </c>
      <c r="H247" s="4">
        <f>[2]Arkusz1!J250</f>
        <v>0</v>
      </c>
      <c r="I247" s="213" t="str">
        <f>_xlfn.CONCAT([2]Arkusz1!C250," ",[2]Arkusz1!D250)</f>
        <v xml:space="preserve"> </v>
      </c>
      <c r="J247" s="216">
        <f ca="1">IF(DATEDIF([2]Arkusz1!S250,TODAY(),"Y")&gt;21,0,DATEDIF([2]Arkusz1!S250,TODAY(),"Y"))</f>
        <v>0</v>
      </c>
      <c r="K247" s="4">
        <f>[2]Arkusz1!T250</f>
        <v>0</v>
      </c>
      <c r="L247" s="216">
        <f>[2]Arkusz1!U250</f>
        <v>0</v>
      </c>
      <c r="M247" s="4">
        <f>[2]Arkusz1!P250</f>
        <v>0</v>
      </c>
      <c r="N247" s="4">
        <f>[2]Arkusz1!Q250</f>
        <v>0</v>
      </c>
      <c r="O247" s="4">
        <f>[2]Arkusz1!V250</f>
        <v>0</v>
      </c>
      <c r="P247" s="4">
        <f t="shared" si="5"/>
        <v>176</v>
      </c>
      <c r="Q247" s="4">
        <f>[2]Arkusz1!Y250</f>
        <v>0</v>
      </c>
      <c r="R247" s="4">
        <v>0</v>
      </c>
      <c r="S247" s="4" t="s">
        <v>64</v>
      </c>
      <c r="T247" s="4">
        <f>[2]Arkusz1!AA250</f>
        <v>0</v>
      </c>
      <c r="U247" s="4" t="str">
        <f>IF([2]Arkusz1!O250=[2]Arkusz1!$O$7,"Z",IF([2]Arkusz1!O250=[2]Arkusz1!$O$15,"Ix3",IF([2]Arkusz1!O250=[2]Arkusz1!$O$20,"Ix1","Ix2")))</f>
        <v>Ix2</v>
      </c>
      <c r="V247" s="4">
        <f>[2]Arkusz1!AM250</f>
        <v>0</v>
      </c>
      <c r="W247" s="4">
        <f>[2]Arkusz1!AB251</f>
        <v>0</v>
      </c>
      <c r="X247" s="4" t="e">
        <f>_xlfn.TEXTBEFORE([2]Arkusz1!AC251," (")</f>
        <v>#N/A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I247" s="4" t="s">
        <v>546</v>
      </c>
      <c r="AJ247" s="4" t="e">
        <v>#N/A</v>
      </c>
      <c r="AK247" s="4" t="e">
        <v>#N/A</v>
      </c>
      <c r="AL247" s="4" t="e">
        <v>#N/A</v>
      </c>
      <c r="AM247" s="4">
        <v>0</v>
      </c>
      <c r="AN247" s="4">
        <v>0</v>
      </c>
      <c r="AP247" s="4">
        <f>[1]Hist!$X257</f>
        <v>0</v>
      </c>
    </row>
    <row r="248" spans="1:42" x14ac:dyDescent="0.2">
      <c r="A248" s="4">
        <v>247</v>
      </c>
      <c r="B248" s="215">
        <f>[2]Arkusz1!B251</f>
        <v>0</v>
      </c>
      <c r="C248" s="44" t="str">
        <f>_xlfn.CONCAT([2]Arkusz1!G251," ",[2]Arkusz1!H251)</f>
        <v xml:space="preserve"> </v>
      </c>
      <c r="D248" s="4" t="e">
        <f>_xlfn.XLOOKUP(H248,[4]Sheet1!$I$2:$I$40,[4]Sheet1!$Y$2:$Y$40,,2,1)</f>
        <v>#N/A</v>
      </c>
      <c r="E248" s="4" t="e">
        <f>_xlfn.XLOOKUP(H248,[4]Sheet1!$I$2:$I$40,[4]Sheet1!$K$2:$K$40,,2,1)</f>
        <v>#N/A</v>
      </c>
      <c r="F248" s="218" t="e">
        <f>_xlfn.XLOOKUP(H248,[4]Sheet1!$I$2:$I$40,[4]Sheet1!$J$2:$J$40,,2,1)</f>
        <v>#N/A</v>
      </c>
      <c r="G248" s="4">
        <f>[2]Arkusz1!E251</f>
        <v>0</v>
      </c>
      <c r="H248" s="4">
        <f>[2]Arkusz1!J251</f>
        <v>0</v>
      </c>
      <c r="I248" s="213" t="str">
        <f>_xlfn.CONCAT([2]Arkusz1!C251," ",[2]Arkusz1!D251)</f>
        <v xml:space="preserve"> </v>
      </c>
      <c r="J248" s="216">
        <f ca="1">IF(DATEDIF([2]Arkusz1!S251,TODAY(),"Y")&gt;21,0,DATEDIF([2]Arkusz1!S251,TODAY(),"Y"))</f>
        <v>0</v>
      </c>
      <c r="K248" s="4">
        <f>[2]Arkusz1!T251</f>
        <v>0</v>
      </c>
      <c r="L248" s="216">
        <f>[2]Arkusz1!U251</f>
        <v>0</v>
      </c>
      <c r="M248" s="4">
        <f>[2]Arkusz1!P251</f>
        <v>0</v>
      </c>
      <c r="N248" s="4">
        <f>[2]Arkusz1!Q251</f>
        <v>0</v>
      </c>
      <c r="O248" s="4">
        <f>[2]Arkusz1!V251</f>
        <v>0</v>
      </c>
      <c r="P248" s="4">
        <f t="shared" si="5"/>
        <v>176</v>
      </c>
      <c r="Q248" s="4">
        <f>[2]Arkusz1!Y251</f>
        <v>0</v>
      </c>
      <c r="R248" s="4">
        <v>0</v>
      </c>
      <c r="S248" s="4" t="s">
        <v>64</v>
      </c>
      <c r="T248" s="4">
        <f>[2]Arkusz1!AA251</f>
        <v>0</v>
      </c>
      <c r="U248" s="4" t="str">
        <f>IF([2]Arkusz1!O251=[2]Arkusz1!$O$7,"Z",IF([2]Arkusz1!O251=[2]Arkusz1!$O$15,"Ix3",IF([2]Arkusz1!O251=[2]Arkusz1!$O$20,"Ix1","Ix2")))</f>
        <v>Ix2</v>
      </c>
      <c r="V248" s="4">
        <f>[2]Arkusz1!AM251</f>
        <v>0</v>
      </c>
      <c r="W248" s="4">
        <f>[2]Arkusz1!AB252</f>
        <v>0</v>
      </c>
      <c r="X248" s="4" t="e">
        <f>_xlfn.TEXTBEFORE([2]Arkusz1!AC252," (")</f>
        <v>#N/A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I248" s="4" t="s">
        <v>546</v>
      </c>
      <c r="AJ248" s="4" t="e">
        <v>#N/A</v>
      </c>
      <c r="AK248" s="4" t="e">
        <v>#N/A</v>
      </c>
      <c r="AL248" s="4" t="e">
        <v>#N/A</v>
      </c>
      <c r="AM248" s="4">
        <v>0</v>
      </c>
      <c r="AN248" s="4">
        <v>0</v>
      </c>
      <c r="AP248" s="4">
        <f>[1]Hist!$X258</f>
        <v>0</v>
      </c>
    </row>
    <row r="249" spans="1:42" x14ac:dyDescent="0.2">
      <c r="A249" s="4">
        <v>248</v>
      </c>
      <c r="B249" s="215">
        <f>[2]Arkusz1!B252</f>
        <v>0</v>
      </c>
      <c r="C249" s="44" t="str">
        <f>_xlfn.CONCAT([2]Arkusz1!G252," ",[2]Arkusz1!H252)</f>
        <v xml:space="preserve"> </v>
      </c>
      <c r="D249" s="4" t="e">
        <f>_xlfn.XLOOKUP(H249,[4]Sheet1!$I$2:$I$40,[4]Sheet1!$Y$2:$Y$40,,2,1)</f>
        <v>#N/A</v>
      </c>
      <c r="E249" s="4" t="e">
        <f>_xlfn.XLOOKUP(H249,[4]Sheet1!$I$2:$I$40,[4]Sheet1!$K$2:$K$40,,2,1)</f>
        <v>#N/A</v>
      </c>
      <c r="F249" s="218" t="e">
        <f>_xlfn.XLOOKUP(H249,[4]Sheet1!$I$2:$I$40,[4]Sheet1!$J$2:$J$40,,2,1)</f>
        <v>#N/A</v>
      </c>
      <c r="G249" s="4">
        <f>[2]Arkusz1!E252</f>
        <v>0</v>
      </c>
      <c r="H249" s="4">
        <f>[2]Arkusz1!J252</f>
        <v>0</v>
      </c>
      <c r="I249" s="213" t="str">
        <f>_xlfn.CONCAT([2]Arkusz1!C252," ",[2]Arkusz1!D252)</f>
        <v xml:space="preserve"> </v>
      </c>
      <c r="J249" s="216">
        <f ca="1">IF(DATEDIF([2]Arkusz1!S252,TODAY(),"Y")&gt;21,0,DATEDIF([2]Arkusz1!S252,TODAY(),"Y"))</f>
        <v>0</v>
      </c>
      <c r="K249" s="4">
        <f>[2]Arkusz1!T252</f>
        <v>0</v>
      </c>
      <c r="L249" s="216">
        <f>[2]Arkusz1!U252</f>
        <v>0</v>
      </c>
      <c r="M249" s="4">
        <f>[2]Arkusz1!P252</f>
        <v>0</v>
      </c>
      <c r="N249" s="4">
        <f>[2]Arkusz1!Q252</f>
        <v>0</v>
      </c>
      <c r="O249" s="4">
        <f>[2]Arkusz1!V252</f>
        <v>0</v>
      </c>
      <c r="P249" s="4">
        <f t="shared" si="5"/>
        <v>176</v>
      </c>
      <c r="Q249" s="4">
        <f>[2]Arkusz1!Y252</f>
        <v>0</v>
      </c>
      <c r="R249" s="4">
        <v>0</v>
      </c>
      <c r="S249" s="4" t="s">
        <v>64</v>
      </c>
      <c r="T249" s="4">
        <f>[2]Arkusz1!AA252</f>
        <v>0</v>
      </c>
      <c r="U249" s="4" t="str">
        <f>IF([2]Arkusz1!O252=[2]Arkusz1!$O$7,"Z",IF([2]Arkusz1!O252=[2]Arkusz1!$O$15,"Ix3",IF([2]Arkusz1!O252=[2]Arkusz1!$O$20,"Ix1","Ix2")))</f>
        <v>Ix2</v>
      </c>
      <c r="V249" s="4">
        <f>[2]Arkusz1!AM252</f>
        <v>0</v>
      </c>
      <c r="W249" s="4">
        <f>[2]Arkusz1!AB253</f>
        <v>0</v>
      </c>
      <c r="X249" s="4" t="e">
        <f>_xlfn.TEXTBEFORE([2]Arkusz1!AC253," (")</f>
        <v>#N/A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I249" s="4" t="s">
        <v>546</v>
      </c>
      <c r="AJ249" s="4" t="e">
        <v>#N/A</v>
      </c>
      <c r="AK249" s="4" t="e">
        <v>#N/A</v>
      </c>
      <c r="AL249" s="4" t="e">
        <v>#N/A</v>
      </c>
      <c r="AM249" s="4">
        <v>0</v>
      </c>
      <c r="AN249" s="4">
        <v>0</v>
      </c>
      <c r="AP249" s="4">
        <f>[1]Hist!$X259</f>
        <v>0</v>
      </c>
    </row>
    <row r="250" spans="1:42" x14ac:dyDescent="0.2">
      <c r="A250" s="4">
        <v>249</v>
      </c>
      <c r="B250" s="215">
        <f>[2]Arkusz1!B253</f>
        <v>0</v>
      </c>
      <c r="C250" s="44" t="str">
        <f>_xlfn.CONCAT([2]Arkusz1!G253," ",[2]Arkusz1!H253)</f>
        <v xml:space="preserve"> </v>
      </c>
      <c r="D250" s="4" t="e">
        <f>_xlfn.XLOOKUP(H250,[4]Sheet1!$I$2:$I$40,[4]Sheet1!$Y$2:$Y$40,,2,1)</f>
        <v>#N/A</v>
      </c>
      <c r="E250" s="4" t="e">
        <f>_xlfn.XLOOKUP(H250,[4]Sheet1!$I$2:$I$40,[4]Sheet1!$K$2:$K$40,,2,1)</f>
        <v>#N/A</v>
      </c>
      <c r="F250" s="218" t="e">
        <f>_xlfn.XLOOKUP(H250,[4]Sheet1!$I$2:$I$40,[4]Sheet1!$J$2:$J$40,,2,1)</f>
        <v>#N/A</v>
      </c>
      <c r="G250" s="4">
        <f>[2]Arkusz1!E253</f>
        <v>0</v>
      </c>
      <c r="H250" s="4">
        <f>[2]Arkusz1!J253</f>
        <v>0</v>
      </c>
      <c r="I250" s="213" t="str">
        <f>_xlfn.CONCAT([2]Arkusz1!C253," ",[2]Arkusz1!D253)</f>
        <v xml:space="preserve"> </v>
      </c>
      <c r="J250" s="216">
        <f ca="1">IF(DATEDIF([2]Arkusz1!S253,TODAY(),"Y")&gt;21,0,DATEDIF([2]Arkusz1!S253,TODAY(),"Y"))</f>
        <v>0</v>
      </c>
      <c r="K250" s="4">
        <f>[2]Arkusz1!T253</f>
        <v>0</v>
      </c>
      <c r="L250" s="216">
        <f>[2]Arkusz1!U253</f>
        <v>0</v>
      </c>
      <c r="M250" s="4">
        <f>[2]Arkusz1!P253</f>
        <v>0</v>
      </c>
      <c r="N250" s="4">
        <f>[2]Arkusz1!Q253</f>
        <v>0</v>
      </c>
      <c r="O250" s="4">
        <f>[2]Arkusz1!V253</f>
        <v>0</v>
      </c>
      <c r="P250" s="4">
        <f t="shared" si="5"/>
        <v>176</v>
      </c>
      <c r="Q250" s="4">
        <f>[2]Arkusz1!Y253</f>
        <v>0</v>
      </c>
      <c r="R250" s="4">
        <v>0</v>
      </c>
      <c r="S250" s="4" t="s">
        <v>64</v>
      </c>
      <c r="T250" s="4">
        <f>[2]Arkusz1!AA253</f>
        <v>0</v>
      </c>
      <c r="U250" s="4" t="str">
        <f>IF([2]Arkusz1!O253=[2]Arkusz1!$O$7,"Z",IF([2]Arkusz1!O253=[2]Arkusz1!$O$15,"Ix3",IF([2]Arkusz1!O253=[2]Arkusz1!$O$20,"Ix1","Ix2")))</f>
        <v>Ix2</v>
      </c>
      <c r="V250" s="4">
        <f>[2]Arkusz1!AM253</f>
        <v>0</v>
      </c>
      <c r="W250" s="4">
        <f>[2]Arkusz1!AB254</f>
        <v>0</v>
      </c>
      <c r="X250" s="4" t="e">
        <f>_xlfn.TEXTBEFORE([2]Arkusz1!AC254," (")</f>
        <v>#N/A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I250" s="4" t="s">
        <v>546</v>
      </c>
      <c r="AJ250" s="4" t="e">
        <v>#N/A</v>
      </c>
      <c r="AK250" s="4" t="e">
        <v>#N/A</v>
      </c>
      <c r="AL250" s="4" t="e">
        <v>#N/A</v>
      </c>
      <c r="AM250" s="4">
        <v>0</v>
      </c>
      <c r="AN250" s="4">
        <v>0</v>
      </c>
      <c r="AP250" s="4">
        <f>[1]Hist!$X260</f>
        <v>0</v>
      </c>
    </row>
    <row r="251" spans="1:42" x14ac:dyDescent="0.2">
      <c r="A251" s="4">
        <v>250</v>
      </c>
      <c r="B251" s="215">
        <f>[2]Arkusz1!B254</f>
        <v>0</v>
      </c>
      <c r="C251" s="44" t="str">
        <f>_xlfn.CONCAT([2]Arkusz1!G254," ",[2]Arkusz1!H254)</f>
        <v xml:space="preserve"> </v>
      </c>
      <c r="D251" s="4" t="e">
        <f>_xlfn.XLOOKUP(H251,[4]Sheet1!$I$2:$I$40,[4]Sheet1!$Y$2:$Y$40,,2,1)</f>
        <v>#N/A</v>
      </c>
      <c r="E251" s="4" t="e">
        <f>_xlfn.XLOOKUP(H251,[4]Sheet1!$I$2:$I$40,[4]Sheet1!$K$2:$K$40,,2,1)</f>
        <v>#N/A</v>
      </c>
      <c r="F251" s="218" t="e">
        <f>_xlfn.XLOOKUP(H251,[4]Sheet1!$I$2:$I$40,[4]Sheet1!$J$2:$J$40,,2,1)</f>
        <v>#N/A</v>
      </c>
      <c r="G251" s="4">
        <f>[2]Arkusz1!E254</f>
        <v>0</v>
      </c>
      <c r="H251" s="4">
        <f>[2]Arkusz1!J254</f>
        <v>0</v>
      </c>
      <c r="I251" s="213" t="str">
        <f>_xlfn.CONCAT([2]Arkusz1!C254," ",[2]Arkusz1!D254)</f>
        <v xml:space="preserve"> </v>
      </c>
      <c r="J251" s="216">
        <f ca="1">IF(DATEDIF([2]Arkusz1!S254,TODAY(),"Y")&gt;21,0,DATEDIF([2]Arkusz1!S254,TODAY(),"Y"))</f>
        <v>0</v>
      </c>
      <c r="K251" s="4">
        <f>[2]Arkusz1!T254</f>
        <v>0</v>
      </c>
      <c r="L251" s="216">
        <f>[2]Arkusz1!U254</f>
        <v>0</v>
      </c>
      <c r="M251" s="4">
        <f>[2]Arkusz1!P254</f>
        <v>0</v>
      </c>
      <c r="N251" s="4">
        <f>[2]Arkusz1!Q254</f>
        <v>0</v>
      </c>
      <c r="O251" s="4">
        <f>[2]Arkusz1!V254</f>
        <v>0</v>
      </c>
      <c r="P251" s="4">
        <f t="shared" si="5"/>
        <v>176</v>
      </c>
      <c r="Q251" s="4">
        <f>[2]Arkusz1!Y254</f>
        <v>0</v>
      </c>
      <c r="R251" s="4">
        <v>0</v>
      </c>
      <c r="S251" s="4" t="s">
        <v>64</v>
      </c>
      <c r="T251" s="4">
        <f>[2]Arkusz1!AA254</f>
        <v>0</v>
      </c>
      <c r="U251" s="4" t="str">
        <f>IF([2]Arkusz1!O254=[2]Arkusz1!$O$7,"Z",IF([2]Arkusz1!O254=[2]Arkusz1!$O$15,"Ix3",IF([2]Arkusz1!O254=[2]Arkusz1!$O$20,"Ix1","Ix2")))</f>
        <v>Ix2</v>
      </c>
      <c r="V251" s="4">
        <f>[2]Arkusz1!AM254</f>
        <v>0</v>
      </c>
      <c r="W251" s="4">
        <f>[2]Arkusz1!AB255</f>
        <v>0</v>
      </c>
      <c r="X251" s="4" t="e">
        <f>_xlfn.TEXTBEFORE([2]Arkusz1!AC255," (")</f>
        <v>#N/A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I251" s="4" t="s">
        <v>546</v>
      </c>
      <c r="AJ251" s="4" t="e">
        <v>#N/A</v>
      </c>
      <c r="AK251" s="4" t="e">
        <v>#N/A</v>
      </c>
      <c r="AL251" s="4" t="e">
        <v>#N/A</v>
      </c>
      <c r="AM251" s="4">
        <v>0</v>
      </c>
      <c r="AN251" s="4">
        <v>0</v>
      </c>
      <c r="AP251" s="4">
        <f>[1]Hist!$X261</f>
        <v>0</v>
      </c>
    </row>
    <row r="252" spans="1:42" x14ac:dyDescent="0.2">
      <c r="A252" s="4">
        <v>251</v>
      </c>
      <c r="B252" s="215">
        <f>[2]Arkusz1!B255</f>
        <v>0</v>
      </c>
      <c r="C252" s="44" t="str">
        <f>_xlfn.CONCAT([2]Arkusz1!G255," ",[2]Arkusz1!H255)</f>
        <v xml:space="preserve"> </v>
      </c>
      <c r="D252" s="4" t="e">
        <f>_xlfn.XLOOKUP(H252,[4]Sheet1!$I$2:$I$40,[4]Sheet1!$Y$2:$Y$40,,2,1)</f>
        <v>#N/A</v>
      </c>
      <c r="E252" s="4" t="e">
        <f>_xlfn.XLOOKUP(H252,[4]Sheet1!$I$2:$I$40,[4]Sheet1!$K$2:$K$40,,2,1)</f>
        <v>#N/A</v>
      </c>
      <c r="F252" s="218" t="e">
        <f>_xlfn.XLOOKUP(H252,[4]Sheet1!$I$2:$I$40,[4]Sheet1!$J$2:$J$40,,2,1)</f>
        <v>#N/A</v>
      </c>
      <c r="G252" s="4">
        <f>[2]Arkusz1!E255</f>
        <v>0</v>
      </c>
      <c r="H252" s="4">
        <f>[2]Arkusz1!J255</f>
        <v>0</v>
      </c>
      <c r="I252" s="213" t="str">
        <f>_xlfn.CONCAT([2]Arkusz1!C255," ",[2]Arkusz1!D255)</f>
        <v xml:space="preserve"> </v>
      </c>
      <c r="J252" s="216">
        <f ca="1">IF(DATEDIF([2]Arkusz1!S255,TODAY(),"Y")&gt;21,0,DATEDIF([2]Arkusz1!S255,TODAY(),"Y"))</f>
        <v>0</v>
      </c>
      <c r="K252" s="4">
        <f>[2]Arkusz1!T255</f>
        <v>0</v>
      </c>
      <c r="L252" s="216">
        <f>[2]Arkusz1!U255</f>
        <v>0</v>
      </c>
      <c r="M252" s="4">
        <f>[2]Arkusz1!P255</f>
        <v>0</v>
      </c>
      <c r="N252" s="4">
        <f>[2]Arkusz1!Q255</f>
        <v>0</v>
      </c>
      <c r="O252" s="4">
        <f>[2]Arkusz1!V255</f>
        <v>0</v>
      </c>
      <c r="P252" s="4">
        <f t="shared" si="5"/>
        <v>176</v>
      </c>
      <c r="Q252" s="4">
        <f>[2]Arkusz1!Y255</f>
        <v>0</v>
      </c>
      <c r="R252" s="4">
        <v>0</v>
      </c>
      <c r="S252" s="4" t="s">
        <v>64</v>
      </c>
      <c r="T252" s="4">
        <f>[2]Arkusz1!AA255</f>
        <v>0</v>
      </c>
      <c r="U252" s="4" t="str">
        <f>IF([2]Arkusz1!O255=[2]Arkusz1!$O$7,"Z",IF([2]Arkusz1!O255=[2]Arkusz1!$O$15,"Ix3",IF([2]Arkusz1!O255=[2]Arkusz1!$O$20,"Ix1","Ix2")))</f>
        <v>Ix2</v>
      </c>
      <c r="V252" s="4">
        <f>[2]Arkusz1!AM255</f>
        <v>0</v>
      </c>
      <c r="W252" s="4">
        <f>[2]Arkusz1!AB256</f>
        <v>0</v>
      </c>
      <c r="X252" s="4" t="e">
        <f>_xlfn.TEXTBEFORE([2]Arkusz1!AC256," (")</f>
        <v>#N/A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I252" s="4" t="s">
        <v>546</v>
      </c>
      <c r="AJ252" s="4" t="e">
        <v>#N/A</v>
      </c>
      <c r="AK252" s="4" t="e">
        <v>#N/A</v>
      </c>
      <c r="AL252" s="4" t="e">
        <v>#N/A</v>
      </c>
      <c r="AM252" s="4">
        <v>0</v>
      </c>
      <c r="AN252" s="4">
        <v>0</v>
      </c>
      <c r="AP252" s="4">
        <f>[1]Hist!$X262</f>
        <v>0</v>
      </c>
    </row>
    <row r="253" spans="1:42" x14ac:dyDescent="0.2">
      <c r="A253" s="4">
        <v>252</v>
      </c>
      <c r="B253" s="215">
        <f>[2]Arkusz1!B256</f>
        <v>0</v>
      </c>
      <c r="C253" s="44" t="str">
        <f>_xlfn.CONCAT([2]Arkusz1!G256," ",[2]Arkusz1!H256)</f>
        <v xml:space="preserve"> </v>
      </c>
      <c r="D253" s="4" t="e">
        <f>_xlfn.XLOOKUP(H253,[4]Sheet1!$I$2:$I$40,[4]Sheet1!$Y$2:$Y$40,,2,1)</f>
        <v>#N/A</v>
      </c>
      <c r="E253" s="4" t="e">
        <f>_xlfn.XLOOKUP(H253,[4]Sheet1!$I$2:$I$40,[4]Sheet1!$K$2:$K$40,,2,1)</f>
        <v>#N/A</v>
      </c>
      <c r="F253" s="218" t="e">
        <f>_xlfn.XLOOKUP(H253,[4]Sheet1!$I$2:$I$40,[4]Sheet1!$J$2:$J$40,,2,1)</f>
        <v>#N/A</v>
      </c>
      <c r="G253" s="4">
        <f>[2]Arkusz1!E256</f>
        <v>0</v>
      </c>
      <c r="H253" s="4">
        <f>[2]Arkusz1!J256</f>
        <v>0</v>
      </c>
      <c r="I253" s="213" t="str">
        <f>_xlfn.CONCAT([2]Arkusz1!C256," ",[2]Arkusz1!D256)</f>
        <v xml:space="preserve"> </v>
      </c>
      <c r="J253" s="216">
        <f ca="1">IF(DATEDIF([2]Arkusz1!S256,TODAY(),"Y")&gt;21,0,DATEDIF([2]Arkusz1!S256,TODAY(),"Y"))</f>
        <v>0</v>
      </c>
      <c r="K253" s="4">
        <f>[2]Arkusz1!T256</f>
        <v>0</v>
      </c>
      <c r="L253" s="216">
        <f>[2]Arkusz1!U256</f>
        <v>0</v>
      </c>
      <c r="M253" s="4">
        <f>[2]Arkusz1!P256</f>
        <v>0</v>
      </c>
      <c r="N253" s="4">
        <f>[2]Arkusz1!Q256</f>
        <v>0</v>
      </c>
      <c r="O253" s="4">
        <f>[2]Arkusz1!V256</f>
        <v>0</v>
      </c>
      <c r="P253" s="4">
        <f t="shared" si="5"/>
        <v>176</v>
      </c>
      <c r="Q253" s="4">
        <f>[2]Arkusz1!Y256</f>
        <v>0</v>
      </c>
      <c r="R253" s="4">
        <v>0</v>
      </c>
      <c r="S253" s="4" t="s">
        <v>64</v>
      </c>
      <c r="T253" s="4">
        <f>[2]Arkusz1!AA256</f>
        <v>0</v>
      </c>
      <c r="U253" s="4" t="str">
        <f>IF([2]Arkusz1!O256=[2]Arkusz1!$O$7,"Z",IF([2]Arkusz1!O256=[2]Arkusz1!$O$15,"Ix3",IF([2]Arkusz1!O256=[2]Arkusz1!$O$20,"Ix1","Ix2")))</f>
        <v>Ix2</v>
      </c>
      <c r="V253" s="4">
        <f>[2]Arkusz1!AM256</f>
        <v>0</v>
      </c>
      <c r="W253" s="4">
        <f>[2]Arkusz1!AB257</f>
        <v>0</v>
      </c>
      <c r="X253" s="4" t="e">
        <f>_xlfn.TEXTBEFORE([2]Arkusz1!AC257," (")</f>
        <v>#N/A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I253" s="4" t="s">
        <v>546</v>
      </c>
      <c r="AJ253" s="4" t="e">
        <v>#N/A</v>
      </c>
      <c r="AK253" s="4" t="e">
        <v>#N/A</v>
      </c>
      <c r="AL253" s="4" t="e">
        <v>#N/A</v>
      </c>
      <c r="AM253" s="4">
        <v>0</v>
      </c>
      <c r="AN253" s="4">
        <v>0</v>
      </c>
      <c r="AP253" s="4">
        <f>[1]Hist!$X263</f>
        <v>0</v>
      </c>
    </row>
    <row r="254" spans="1:42" x14ac:dyDescent="0.2">
      <c r="A254" s="4">
        <v>253</v>
      </c>
      <c r="B254" s="215">
        <f>[2]Arkusz1!B257</f>
        <v>0</v>
      </c>
      <c r="C254" s="44" t="str">
        <f>_xlfn.CONCAT([2]Arkusz1!G257," ",[2]Arkusz1!H257)</f>
        <v xml:space="preserve"> </v>
      </c>
      <c r="D254" s="4" t="e">
        <f>_xlfn.XLOOKUP(H254,[4]Sheet1!$I$2:$I$40,[4]Sheet1!$Y$2:$Y$40,,2,1)</f>
        <v>#N/A</v>
      </c>
      <c r="E254" s="4" t="e">
        <f>_xlfn.XLOOKUP(H254,[4]Sheet1!$I$2:$I$40,[4]Sheet1!$K$2:$K$40,,2,1)</f>
        <v>#N/A</v>
      </c>
      <c r="F254" s="218" t="e">
        <f>_xlfn.XLOOKUP(H254,[4]Sheet1!$I$2:$I$40,[4]Sheet1!$J$2:$J$40,,2,1)</f>
        <v>#N/A</v>
      </c>
      <c r="G254" s="4">
        <f>[2]Arkusz1!E257</f>
        <v>0</v>
      </c>
      <c r="H254" s="4">
        <f>[2]Arkusz1!J257</f>
        <v>0</v>
      </c>
      <c r="I254" s="213" t="str">
        <f>_xlfn.CONCAT([2]Arkusz1!C257," ",[2]Arkusz1!D257)</f>
        <v xml:space="preserve"> </v>
      </c>
      <c r="J254" s="216">
        <f ca="1">IF(DATEDIF([2]Arkusz1!S257,TODAY(),"Y")&gt;21,0,DATEDIF([2]Arkusz1!S257,TODAY(),"Y"))</f>
        <v>0</v>
      </c>
      <c r="K254" s="4">
        <f>[2]Arkusz1!T257</f>
        <v>0</v>
      </c>
      <c r="L254" s="216">
        <f>[2]Arkusz1!U257</f>
        <v>0</v>
      </c>
      <c r="M254" s="4">
        <f>[2]Arkusz1!P257</f>
        <v>0</v>
      </c>
      <c r="N254" s="4">
        <f>[2]Arkusz1!Q257</f>
        <v>0</v>
      </c>
      <c r="O254" s="4">
        <f>[2]Arkusz1!V257</f>
        <v>0</v>
      </c>
      <c r="P254" s="4">
        <f t="shared" si="5"/>
        <v>176</v>
      </c>
      <c r="Q254" s="4">
        <f>[2]Arkusz1!Y257</f>
        <v>0</v>
      </c>
      <c r="R254" s="4">
        <v>0</v>
      </c>
      <c r="S254" s="4" t="s">
        <v>64</v>
      </c>
      <c r="T254" s="4">
        <f>[2]Arkusz1!AA257</f>
        <v>0</v>
      </c>
      <c r="U254" s="4" t="str">
        <f>IF([2]Arkusz1!O257=[2]Arkusz1!$O$7,"Z",IF([2]Arkusz1!O257=[2]Arkusz1!$O$15,"Ix3",IF([2]Arkusz1!O257=[2]Arkusz1!$O$20,"Ix1","Ix2")))</f>
        <v>Ix2</v>
      </c>
      <c r="V254" s="4">
        <f>[2]Arkusz1!AM257</f>
        <v>0</v>
      </c>
      <c r="W254" s="4">
        <f>[2]Arkusz1!AB258</f>
        <v>0</v>
      </c>
      <c r="X254" s="4" t="e">
        <f>_xlfn.TEXTBEFORE([2]Arkusz1!AC258," (")</f>
        <v>#N/A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I254" s="4" t="s">
        <v>546</v>
      </c>
      <c r="AJ254" s="4" t="e">
        <v>#N/A</v>
      </c>
      <c r="AK254" s="4" t="e">
        <v>#N/A</v>
      </c>
      <c r="AL254" s="4" t="e">
        <v>#N/A</v>
      </c>
      <c r="AM254" s="4">
        <v>0</v>
      </c>
      <c r="AN254" s="4">
        <v>0</v>
      </c>
      <c r="AP254" s="4">
        <f>[1]Hist!$X264</f>
        <v>0</v>
      </c>
    </row>
    <row r="255" spans="1:42" x14ac:dyDescent="0.2">
      <c r="A255" s="4">
        <v>254</v>
      </c>
      <c r="B255" s="215">
        <f>[2]Arkusz1!B258</f>
        <v>0</v>
      </c>
      <c r="C255" s="44" t="str">
        <f>_xlfn.CONCAT([2]Arkusz1!G258," ",[2]Arkusz1!H258)</f>
        <v xml:space="preserve"> </v>
      </c>
      <c r="D255" s="4" t="e">
        <f>_xlfn.XLOOKUP(H255,[4]Sheet1!$I$2:$I$40,[4]Sheet1!$Y$2:$Y$40,,2,1)</f>
        <v>#N/A</v>
      </c>
      <c r="E255" s="4" t="e">
        <f>_xlfn.XLOOKUP(H255,[4]Sheet1!$I$2:$I$40,[4]Sheet1!$K$2:$K$40,,2,1)</f>
        <v>#N/A</v>
      </c>
      <c r="F255" s="218" t="e">
        <f>_xlfn.XLOOKUP(H255,[4]Sheet1!$I$2:$I$40,[4]Sheet1!$J$2:$J$40,,2,1)</f>
        <v>#N/A</v>
      </c>
      <c r="G255" s="4">
        <f>[2]Arkusz1!E258</f>
        <v>0</v>
      </c>
      <c r="H255" s="4">
        <f>[2]Arkusz1!J258</f>
        <v>0</v>
      </c>
      <c r="I255" s="213" t="str">
        <f>_xlfn.CONCAT([2]Arkusz1!C258," ",[2]Arkusz1!D258)</f>
        <v xml:space="preserve"> </v>
      </c>
      <c r="J255" s="216">
        <f ca="1">IF(DATEDIF([2]Arkusz1!S258,TODAY(),"Y")&gt;21,0,DATEDIF([2]Arkusz1!S258,TODAY(),"Y"))</f>
        <v>0</v>
      </c>
      <c r="K255" s="4">
        <f>[2]Arkusz1!T258</f>
        <v>0</v>
      </c>
      <c r="L255" s="216">
        <f>[2]Arkusz1!U258</f>
        <v>0</v>
      </c>
      <c r="M255" s="4">
        <f>[2]Arkusz1!P258</f>
        <v>0</v>
      </c>
      <c r="N255" s="4">
        <f>[2]Arkusz1!Q258</f>
        <v>0</v>
      </c>
      <c r="O255" s="4">
        <f>[2]Arkusz1!V258</f>
        <v>0</v>
      </c>
      <c r="P255" s="4">
        <f t="shared" si="5"/>
        <v>176</v>
      </c>
      <c r="Q255" s="4">
        <f>[2]Arkusz1!Y258</f>
        <v>0</v>
      </c>
      <c r="R255" s="4">
        <v>0</v>
      </c>
      <c r="S255" s="4" t="s">
        <v>64</v>
      </c>
      <c r="T255" s="4">
        <f>[2]Arkusz1!AA258</f>
        <v>0</v>
      </c>
      <c r="U255" s="4" t="str">
        <f>IF([2]Arkusz1!O258=[2]Arkusz1!$O$7,"Z",IF([2]Arkusz1!O258=[2]Arkusz1!$O$15,"Ix3",IF([2]Arkusz1!O258=[2]Arkusz1!$O$20,"Ix1","Ix2")))</f>
        <v>Ix2</v>
      </c>
      <c r="V255" s="4">
        <f>[2]Arkusz1!AM258</f>
        <v>0</v>
      </c>
      <c r="W255" s="4">
        <f>[2]Arkusz1!AB259</f>
        <v>0</v>
      </c>
      <c r="X255" s="4" t="e">
        <f>_xlfn.TEXTBEFORE([2]Arkusz1!AC259," (")</f>
        <v>#N/A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I255" s="4" t="s">
        <v>546</v>
      </c>
      <c r="AJ255" s="4" t="e">
        <v>#N/A</v>
      </c>
      <c r="AK255" s="4" t="e">
        <v>#N/A</v>
      </c>
      <c r="AL255" s="4" t="e">
        <v>#N/A</v>
      </c>
      <c r="AM255" s="4">
        <v>0</v>
      </c>
      <c r="AN255" s="4">
        <v>0</v>
      </c>
      <c r="AP255" s="4">
        <f>[1]Hist!$X265</f>
        <v>0</v>
      </c>
    </row>
    <row r="256" spans="1:42" x14ac:dyDescent="0.2">
      <c r="A256" s="4">
        <v>255</v>
      </c>
      <c r="B256" s="215">
        <f>[2]Arkusz1!B259</f>
        <v>0</v>
      </c>
      <c r="C256" s="44" t="str">
        <f>_xlfn.CONCAT([2]Arkusz1!G259," ",[2]Arkusz1!H259)</f>
        <v xml:space="preserve"> </v>
      </c>
      <c r="D256" s="4" t="e">
        <f>_xlfn.XLOOKUP(H256,[4]Sheet1!$I$2:$I$40,[4]Sheet1!$Y$2:$Y$40,,2,1)</f>
        <v>#N/A</v>
      </c>
      <c r="E256" s="4" t="e">
        <f>_xlfn.XLOOKUP(H256,[4]Sheet1!$I$2:$I$40,[4]Sheet1!$K$2:$K$40,,2,1)</f>
        <v>#N/A</v>
      </c>
      <c r="F256" s="218" t="e">
        <f>_xlfn.XLOOKUP(H256,[4]Sheet1!$I$2:$I$40,[4]Sheet1!$J$2:$J$40,,2,1)</f>
        <v>#N/A</v>
      </c>
      <c r="G256" s="4">
        <f>[2]Arkusz1!E259</f>
        <v>0</v>
      </c>
      <c r="H256" s="4">
        <f>[2]Arkusz1!J259</f>
        <v>0</v>
      </c>
      <c r="I256" s="213" t="str">
        <f>_xlfn.CONCAT([2]Arkusz1!C259," ",[2]Arkusz1!D259)</f>
        <v xml:space="preserve"> </v>
      </c>
      <c r="J256" s="216">
        <f ca="1">IF(DATEDIF([2]Arkusz1!S259,TODAY(),"Y")&gt;21,0,DATEDIF([2]Arkusz1!S259,TODAY(),"Y"))</f>
        <v>0</v>
      </c>
      <c r="K256" s="4">
        <f>[2]Arkusz1!T259</f>
        <v>0</v>
      </c>
      <c r="L256" s="216">
        <f>[2]Arkusz1!U259</f>
        <v>0</v>
      </c>
      <c r="M256" s="4">
        <f>[2]Arkusz1!P259</f>
        <v>0</v>
      </c>
      <c r="N256" s="4">
        <f>[2]Arkusz1!Q259</f>
        <v>0</v>
      </c>
      <c r="O256" s="4">
        <f>[2]Arkusz1!V259</f>
        <v>0</v>
      </c>
      <c r="P256" s="4">
        <f t="shared" si="5"/>
        <v>176</v>
      </c>
      <c r="Q256" s="4">
        <f>[2]Arkusz1!Y259</f>
        <v>0</v>
      </c>
      <c r="R256" s="4">
        <v>0</v>
      </c>
      <c r="S256" s="4" t="s">
        <v>64</v>
      </c>
      <c r="T256" s="4">
        <f>[2]Arkusz1!AA259</f>
        <v>0</v>
      </c>
      <c r="U256" s="4" t="str">
        <f>IF([2]Arkusz1!O259=[2]Arkusz1!$O$7,"Z",IF([2]Arkusz1!O259=[2]Arkusz1!$O$15,"Ix3",IF([2]Arkusz1!O259=[2]Arkusz1!$O$20,"Ix1","Ix2")))</f>
        <v>Ix2</v>
      </c>
      <c r="V256" s="4">
        <f>[2]Arkusz1!AM259</f>
        <v>0</v>
      </c>
      <c r="W256" s="4">
        <f>[2]Arkusz1!AB260</f>
        <v>0</v>
      </c>
      <c r="X256" s="4" t="e">
        <f>_xlfn.TEXTBEFORE([2]Arkusz1!AC260," (")</f>
        <v>#N/A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I256" s="4" t="s">
        <v>546</v>
      </c>
      <c r="AJ256" s="4" t="e">
        <v>#N/A</v>
      </c>
      <c r="AK256" s="4" t="e">
        <v>#N/A</v>
      </c>
      <c r="AL256" s="4" t="e">
        <v>#N/A</v>
      </c>
      <c r="AM256" s="4">
        <v>0</v>
      </c>
      <c r="AN256" s="4">
        <v>0</v>
      </c>
      <c r="AP256" s="4">
        <f>[1]Hist!$X266</f>
        <v>0</v>
      </c>
    </row>
    <row r="257" spans="1:42" x14ac:dyDescent="0.2">
      <c r="A257" s="4">
        <v>256</v>
      </c>
      <c r="B257" s="215">
        <f>[2]Arkusz1!B260</f>
        <v>0</v>
      </c>
      <c r="C257" s="44" t="str">
        <f>_xlfn.CONCAT([2]Arkusz1!G260," ",[2]Arkusz1!H260)</f>
        <v xml:space="preserve"> </v>
      </c>
      <c r="D257" s="4" t="e">
        <f>_xlfn.XLOOKUP(H257,[4]Sheet1!$I$2:$I$40,[4]Sheet1!$Y$2:$Y$40,,2,1)</f>
        <v>#N/A</v>
      </c>
      <c r="E257" s="4" t="e">
        <f>_xlfn.XLOOKUP(H257,[4]Sheet1!$I$2:$I$40,[4]Sheet1!$K$2:$K$40,,2,1)</f>
        <v>#N/A</v>
      </c>
      <c r="F257" s="218" t="e">
        <f>_xlfn.XLOOKUP(H257,[4]Sheet1!$I$2:$I$40,[4]Sheet1!$J$2:$J$40,,2,1)</f>
        <v>#N/A</v>
      </c>
      <c r="G257" s="4">
        <f>[2]Arkusz1!E260</f>
        <v>0</v>
      </c>
      <c r="H257" s="4">
        <f>[2]Arkusz1!J260</f>
        <v>0</v>
      </c>
      <c r="I257" s="213" t="str">
        <f>_xlfn.CONCAT([2]Arkusz1!C260," ",[2]Arkusz1!D260)</f>
        <v xml:space="preserve"> </v>
      </c>
      <c r="J257" s="216">
        <f ca="1">IF(DATEDIF([2]Arkusz1!S260,TODAY(),"Y")&gt;21,0,DATEDIF([2]Arkusz1!S260,TODAY(),"Y"))</f>
        <v>0</v>
      </c>
      <c r="K257" s="4">
        <f>[2]Arkusz1!T260</f>
        <v>0</v>
      </c>
      <c r="L257" s="216">
        <f>[2]Arkusz1!U260</f>
        <v>0</v>
      </c>
      <c r="M257" s="4">
        <f>[2]Arkusz1!P260</f>
        <v>0</v>
      </c>
      <c r="N257" s="4">
        <f>[2]Arkusz1!Q260</f>
        <v>0</v>
      </c>
      <c r="O257" s="4">
        <f>[2]Arkusz1!V260</f>
        <v>0</v>
      </c>
      <c r="P257" s="4">
        <f t="shared" si="5"/>
        <v>176</v>
      </c>
      <c r="Q257" s="4">
        <f>[2]Arkusz1!Y260</f>
        <v>0</v>
      </c>
      <c r="R257" s="4">
        <v>0</v>
      </c>
      <c r="S257" s="4" t="s">
        <v>64</v>
      </c>
      <c r="T257" s="4">
        <f>[2]Arkusz1!AA260</f>
        <v>0</v>
      </c>
      <c r="U257" s="4" t="str">
        <f>IF([2]Arkusz1!O260=[2]Arkusz1!$O$7,"Z",IF([2]Arkusz1!O260=[2]Arkusz1!$O$15,"Ix3",IF([2]Arkusz1!O260=[2]Arkusz1!$O$20,"Ix1","Ix2")))</f>
        <v>Ix2</v>
      </c>
      <c r="V257" s="4">
        <f>[2]Arkusz1!AM260</f>
        <v>0</v>
      </c>
      <c r="W257" s="4">
        <f>[2]Arkusz1!AB261</f>
        <v>0</v>
      </c>
      <c r="X257" s="4" t="e">
        <f>_xlfn.TEXTBEFORE([2]Arkusz1!AC261," (")</f>
        <v>#N/A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I257" s="4" t="s">
        <v>546</v>
      </c>
      <c r="AJ257" s="4" t="e">
        <v>#N/A</v>
      </c>
      <c r="AK257" s="4" t="e">
        <v>#N/A</v>
      </c>
      <c r="AL257" s="4" t="e">
        <v>#N/A</v>
      </c>
      <c r="AM257" s="4">
        <v>0</v>
      </c>
      <c r="AN257" s="4">
        <v>0</v>
      </c>
      <c r="AP257" s="4">
        <f>[1]Hist!$X267</f>
        <v>0</v>
      </c>
    </row>
    <row r="258" spans="1:42" x14ac:dyDescent="0.2">
      <c r="A258" s="4">
        <v>257</v>
      </c>
      <c r="B258" s="215">
        <f>[2]Arkusz1!B261</f>
        <v>0</v>
      </c>
      <c r="C258" s="44" t="str">
        <f>_xlfn.CONCAT([2]Arkusz1!G261," ",[2]Arkusz1!H261)</f>
        <v xml:space="preserve"> </v>
      </c>
      <c r="D258" s="4" t="e">
        <f>_xlfn.XLOOKUP(H258,[4]Sheet1!$I$2:$I$40,[4]Sheet1!$Y$2:$Y$40,,2,1)</f>
        <v>#N/A</v>
      </c>
      <c r="E258" s="4" t="e">
        <f>_xlfn.XLOOKUP(H258,[4]Sheet1!$I$2:$I$40,[4]Sheet1!$K$2:$K$40,,2,1)</f>
        <v>#N/A</v>
      </c>
      <c r="F258" s="218" t="e">
        <f>_xlfn.XLOOKUP(H258,[4]Sheet1!$I$2:$I$40,[4]Sheet1!$J$2:$J$40,,2,1)</f>
        <v>#N/A</v>
      </c>
      <c r="G258" s="4">
        <f>[2]Arkusz1!E261</f>
        <v>0</v>
      </c>
      <c r="H258" s="4">
        <f>[2]Arkusz1!J261</f>
        <v>0</v>
      </c>
      <c r="I258" s="213" t="str">
        <f>_xlfn.CONCAT([2]Arkusz1!C261," ",[2]Arkusz1!D261)</f>
        <v xml:space="preserve"> </v>
      </c>
      <c r="J258" s="216">
        <f ca="1">IF(DATEDIF([2]Arkusz1!S261,TODAY(),"Y")&gt;21,0,DATEDIF([2]Arkusz1!S261,TODAY(),"Y"))</f>
        <v>0</v>
      </c>
      <c r="K258" s="4">
        <f>[2]Arkusz1!T261</f>
        <v>0</v>
      </c>
      <c r="L258" s="216">
        <f>[2]Arkusz1!U261</f>
        <v>0</v>
      </c>
      <c r="M258" s="4">
        <f>[2]Arkusz1!P261</f>
        <v>0</v>
      </c>
      <c r="N258" s="4">
        <f>[2]Arkusz1!Q261</f>
        <v>0</v>
      </c>
      <c r="O258" s="4">
        <f>[2]Arkusz1!V261</f>
        <v>0</v>
      </c>
      <c r="P258" s="4">
        <f t="shared" si="5"/>
        <v>176</v>
      </c>
      <c r="Q258" s="4">
        <f>[2]Arkusz1!Y261</f>
        <v>0</v>
      </c>
      <c r="R258" s="4">
        <v>0</v>
      </c>
      <c r="S258" s="4" t="s">
        <v>64</v>
      </c>
      <c r="T258" s="4">
        <f>[2]Arkusz1!AA261</f>
        <v>0</v>
      </c>
      <c r="U258" s="4" t="str">
        <f>IF([2]Arkusz1!O261=[2]Arkusz1!$O$7,"Z",IF([2]Arkusz1!O261=[2]Arkusz1!$O$15,"Ix3",IF([2]Arkusz1!O261=[2]Arkusz1!$O$20,"Ix1","Ix2")))</f>
        <v>Ix2</v>
      </c>
      <c r="V258" s="4">
        <f>[2]Arkusz1!AM261</f>
        <v>0</v>
      </c>
      <c r="W258" s="4">
        <f>[2]Arkusz1!AB262</f>
        <v>0</v>
      </c>
      <c r="X258" s="4" t="e">
        <f>_xlfn.TEXTBEFORE([2]Arkusz1!AC262," (")</f>
        <v>#N/A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I258" s="4" t="s">
        <v>546</v>
      </c>
      <c r="AJ258" s="4" t="e">
        <v>#N/A</v>
      </c>
      <c r="AK258" s="4" t="e">
        <v>#N/A</v>
      </c>
      <c r="AL258" s="4" t="e">
        <v>#N/A</v>
      </c>
      <c r="AM258" s="4">
        <v>0</v>
      </c>
      <c r="AN258" s="4">
        <v>0</v>
      </c>
      <c r="AP258" s="4">
        <f>[1]Hist!$X268</f>
        <v>0</v>
      </c>
    </row>
    <row r="259" spans="1:42" x14ac:dyDescent="0.2">
      <c r="A259" s="4">
        <v>258</v>
      </c>
      <c r="B259" s="215">
        <f>[2]Arkusz1!B262</f>
        <v>0</v>
      </c>
      <c r="C259" s="44" t="str">
        <f>_xlfn.CONCAT([2]Arkusz1!G262," ",[2]Arkusz1!H262)</f>
        <v xml:space="preserve"> </v>
      </c>
      <c r="D259" s="4" t="e">
        <f>_xlfn.XLOOKUP(H259,[4]Sheet1!$I$2:$I$40,[4]Sheet1!$Y$2:$Y$40,,2,1)</f>
        <v>#N/A</v>
      </c>
      <c r="E259" s="4" t="e">
        <f>_xlfn.XLOOKUP(H259,[4]Sheet1!$I$2:$I$40,[4]Sheet1!$K$2:$K$40,,2,1)</f>
        <v>#N/A</v>
      </c>
      <c r="F259" s="218" t="e">
        <f>_xlfn.XLOOKUP(H259,[4]Sheet1!$I$2:$I$40,[4]Sheet1!$J$2:$J$40,,2,1)</f>
        <v>#N/A</v>
      </c>
      <c r="G259" s="4">
        <f>[2]Arkusz1!E262</f>
        <v>0</v>
      </c>
      <c r="H259" s="4">
        <f>[2]Arkusz1!J262</f>
        <v>0</v>
      </c>
      <c r="I259" s="213" t="str">
        <f>_xlfn.CONCAT([2]Arkusz1!C262," ",[2]Arkusz1!D262)</f>
        <v xml:space="preserve"> </v>
      </c>
      <c r="J259" s="216">
        <f ca="1">IF(DATEDIF([2]Arkusz1!S262,TODAY(),"Y")&gt;21,0,DATEDIF([2]Arkusz1!S262,TODAY(),"Y"))</f>
        <v>0</v>
      </c>
      <c r="K259" s="4">
        <f>[2]Arkusz1!T262</f>
        <v>0</v>
      </c>
      <c r="L259" s="216">
        <f>[2]Arkusz1!U262</f>
        <v>0</v>
      </c>
      <c r="M259" s="4">
        <f>[2]Arkusz1!P262</f>
        <v>0</v>
      </c>
      <c r="N259" s="4">
        <f>[2]Arkusz1!Q262</f>
        <v>0</v>
      </c>
      <c r="O259" s="4">
        <f>[2]Arkusz1!V262</f>
        <v>0</v>
      </c>
      <c r="P259" s="4">
        <f t="shared" ref="P259:P302" si="6">COUNTIFS($C$3:$C$302,C259)</f>
        <v>176</v>
      </c>
      <c r="Q259" s="4">
        <f>[2]Arkusz1!Y262</f>
        <v>0</v>
      </c>
      <c r="R259" s="4">
        <v>0</v>
      </c>
      <c r="S259" s="4" t="s">
        <v>64</v>
      </c>
      <c r="T259" s="4">
        <f>[2]Arkusz1!AA262</f>
        <v>0</v>
      </c>
      <c r="U259" s="4" t="str">
        <f>IF([2]Arkusz1!O262=[2]Arkusz1!$O$7,"Z",IF([2]Arkusz1!O262=[2]Arkusz1!$O$15,"Ix3",IF([2]Arkusz1!O262=[2]Arkusz1!$O$20,"Ix1","Ix2")))</f>
        <v>Ix2</v>
      </c>
      <c r="V259" s="4">
        <f>[2]Arkusz1!AM262</f>
        <v>0</v>
      </c>
      <c r="W259" s="4">
        <f>[2]Arkusz1!AB263</f>
        <v>0</v>
      </c>
      <c r="X259" s="4" t="e">
        <f>_xlfn.TEXTBEFORE([2]Arkusz1!AC263," (")</f>
        <v>#N/A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I259" s="4" t="s">
        <v>546</v>
      </c>
      <c r="AJ259" s="4" t="e">
        <v>#N/A</v>
      </c>
      <c r="AK259" s="4" t="e">
        <v>#N/A</v>
      </c>
      <c r="AL259" s="4" t="e">
        <v>#N/A</v>
      </c>
      <c r="AM259" s="4">
        <v>0</v>
      </c>
      <c r="AN259" s="4">
        <v>0</v>
      </c>
      <c r="AP259" s="4">
        <f>[1]Hist!$X269</f>
        <v>0</v>
      </c>
    </row>
    <row r="260" spans="1:42" x14ac:dyDescent="0.2">
      <c r="A260" s="4">
        <v>259</v>
      </c>
      <c r="B260" s="215">
        <f>[2]Arkusz1!B263</f>
        <v>0</v>
      </c>
      <c r="C260" s="44" t="str">
        <f>_xlfn.CONCAT([2]Arkusz1!G263," ",[2]Arkusz1!H263)</f>
        <v xml:space="preserve"> </v>
      </c>
      <c r="D260" s="4" t="e">
        <f>_xlfn.XLOOKUP(H260,[4]Sheet1!$I$2:$I$40,[4]Sheet1!$Y$2:$Y$40,,2,1)</f>
        <v>#N/A</v>
      </c>
      <c r="E260" s="4" t="e">
        <f>_xlfn.XLOOKUP(H260,[4]Sheet1!$I$2:$I$40,[4]Sheet1!$K$2:$K$40,,2,1)</f>
        <v>#N/A</v>
      </c>
      <c r="F260" s="218" t="e">
        <f>_xlfn.XLOOKUP(H260,[4]Sheet1!$I$2:$I$40,[4]Sheet1!$J$2:$J$40,,2,1)</f>
        <v>#N/A</v>
      </c>
      <c r="G260" s="4">
        <f>[2]Arkusz1!E263</f>
        <v>0</v>
      </c>
      <c r="H260" s="4">
        <f>[2]Arkusz1!J263</f>
        <v>0</v>
      </c>
      <c r="I260" s="213" t="str">
        <f>_xlfn.CONCAT([2]Arkusz1!C263," ",[2]Arkusz1!D263)</f>
        <v xml:space="preserve"> </v>
      </c>
      <c r="J260" s="216">
        <f ca="1">IF(DATEDIF([2]Arkusz1!S263,TODAY(),"Y")&gt;21,0,DATEDIF([2]Arkusz1!S263,TODAY(),"Y"))</f>
        <v>0</v>
      </c>
      <c r="K260" s="4">
        <f>[2]Arkusz1!T263</f>
        <v>0</v>
      </c>
      <c r="L260" s="216">
        <f>[2]Arkusz1!U263</f>
        <v>0</v>
      </c>
      <c r="M260" s="4">
        <f>[2]Arkusz1!P263</f>
        <v>0</v>
      </c>
      <c r="N260" s="4">
        <f>[2]Arkusz1!Q263</f>
        <v>0</v>
      </c>
      <c r="O260" s="4">
        <f>[2]Arkusz1!V263</f>
        <v>0</v>
      </c>
      <c r="P260" s="4">
        <f t="shared" si="6"/>
        <v>176</v>
      </c>
      <c r="Q260" s="4">
        <f>[2]Arkusz1!Y263</f>
        <v>0</v>
      </c>
      <c r="R260" s="4">
        <v>0</v>
      </c>
      <c r="S260" s="4" t="s">
        <v>64</v>
      </c>
      <c r="T260" s="4">
        <f>[2]Arkusz1!AA263</f>
        <v>0</v>
      </c>
      <c r="U260" s="4" t="str">
        <f>IF([2]Arkusz1!O263=[2]Arkusz1!$O$7,"Z",IF([2]Arkusz1!O263=[2]Arkusz1!$O$15,"Ix3",IF([2]Arkusz1!O263=[2]Arkusz1!$O$20,"Ix1","Ix2")))</f>
        <v>Ix2</v>
      </c>
      <c r="V260" s="4">
        <f>[2]Arkusz1!AM263</f>
        <v>0</v>
      </c>
      <c r="W260" s="4">
        <f>[2]Arkusz1!AB264</f>
        <v>0</v>
      </c>
      <c r="X260" s="4" t="e">
        <f>_xlfn.TEXTBEFORE([2]Arkusz1!AC264," (")</f>
        <v>#N/A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I260" s="4" t="s">
        <v>546</v>
      </c>
      <c r="AJ260" s="4" t="e">
        <v>#N/A</v>
      </c>
      <c r="AK260" s="4" t="e">
        <v>#N/A</v>
      </c>
      <c r="AL260" s="4" t="e">
        <v>#N/A</v>
      </c>
      <c r="AM260" s="4">
        <v>0</v>
      </c>
      <c r="AN260" s="4">
        <v>0</v>
      </c>
      <c r="AP260" s="4">
        <f>[1]Hist!$X270</f>
        <v>0</v>
      </c>
    </row>
    <row r="261" spans="1:42" x14ac:dyDescent="0.2">
      <c r="A261" s="4">
        <v>260</v>
      </c>
      <c r="B261" s="215">
        <f>[2]Arkusz1!B264</f>
        <v>0</v>
      </c>
      <c r="C261" s="44" t="str">
        <f>_xlfn.CONCAT([2]Arkusz1!G264," ",[2]Arkusz1!H264)</f>
        <v xml:space="preserve"> </v>
      </c>
      <c r="D261" s="4" t="e">
        <f>_xlfn.XLOOKUP(H261,[4]Sheet1!$I$2:$I$40,[4]Sheet1!$Y$2:$Y$40,,2,1)</f>
        <v>#N/A</v>
      </c>
      <c r="E261" s="4" t="e">
        <f>_xlfn.XLOOKUP(H261,[4]Sheet1!$I$2:$I$40,[4]Sheet1!$K$2:$K$40,,2,1)</f>
        <v>#N/A</v>
      </c>
      <c r="F261" s="218" t="e">
        <f>_xlfn.XLOOKUP(H261,[4]Sheet1!$I$2:$I$40,[4]Sheet1!$J$2:$J$40,,2,1)</f>
        <v>#N/A</v>
      </c>
      <c r="G261" s="4">
        <f>[2]Arkusz1!E264</f>
        <v>0</v>
      </c>
      <c r="H261" s="4">
        <f>[2]Arkusz1!J264</f>
        <v>0</v>
      </c>
      <c r="I261" s="213" t="str">
        <f>_xlfn.CONCAT([2]Arkusz1!C264," ",[2]Arkusz1!D264)</f>
        <v xml:space="preserve"> </v>
      </c>
      <c r="J261" s="216">
        <f ca="1">IF(DATEDIF([2]Arkusz1!S264,TODAY(),"Y")&gt;21,0,DATEDIF([2]Arkusz1!S264,TODAY(),"Y"))</f>
        <v>0</v>
      </c>
      <c r="K261" s="4">
        <f>[2]Arkusz1!T264</f>
        <v>0</v>
      </c>
      <c r="L261" s="216">
        <f>[2]Arkusz1!U264</f>
        <v>0</v>
      </c>
      <c r="M261" s="4">
        <f>[2]Arkusz1!P264</f>
        <v>0</v>
      </c>
      <c r="N261" s="4">
        <f>[2]Arkusz1!Q264</f>
        <v>0</v>
      </c>
      <c r="O261" s="4">
        <f>[2]Arkusz1!V264</f>
        <v>0</v>
      </c>
      <c r="P261" s="4">
        <f t="shared" si="6"/>
        <v>176</v>
      </c>
      <c r="Q261" s="4">
        <f>[2]Arkusz1!Y264</f>
        <v>0</v>
      </c>
      <c r="R261" s="4">
        <v>0</v>
      </c>
      <c r="S261" s="4" t="s">
        <v>64</v>
      </c>
      <c r="T261" s="4">
        <f>[2]Arkusz1!AA264</f>
        <v>0</v>
      </c>
      <c r="U261" s="4" t="str">
        <f>IF([2]Arkusz1!O264=[2]Arkusz1!$O$7,"Z",IF([2]Arkusz1!O264=[2]Arkusz1!$O$15,"Ix3",IF([2]Arkusz1!O264=[2]Arkusz1!$O$20,"Ix1","Ix2")))</f>
        <v>Ix2</v>
      </c>
      <c r="V261" s="4">
        <f>[2]Arkusz1!AM264</f>
        <v>0</v>
      </c>
      <c r="W261" s="4">
        <f>[2]Arkusz1!AB265</f>
        <v>0</v>
      </c>
      <c r="X261" s="4" t="e">
        <f>_xlfn.TEXTBEFORE([2]Arkusz1!AC265," (")</f>
        <v>#N/A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I261" s="4" t="s">
        <v>546</v>
      </c>
      <c r="AJ261" s="4" t="e">
        <v>#N/A</v>
      </c>
      <c r="AK261" s="4" t="e">
        <v>#N/A</v>
      </c>
      <c r="AL261" s="4" t="e">
        <v>#N/A</v>
      </c>
      <c r="AM261" s="4">
        <v>0</v>
      </c>
      <c r="AN261" s="4">
        <v>0</v>
      </c>
      <c r="AP261" s="4">
        <f>[1]Hist!$X271</f>
        <v>0</v>
      </c>
    </row>
    <row r="262" spans="1:42" x14ac:dyDescent="0.2">
      <c r="A262" s="4">
        <v>261</v>
      </c>
      <c r="B262" s="215">
        <f>[2]Arkusz1!B265</f>
        <v>0</v>
      </c>
      <c r="C262" s="44" t="str">
        <f>_xlfn.CONCAT([2]Arkusz1!G265," ",[2]Arkusz1!H265)</f>
        <v xml:space="preserve"> </v>
      </c>
      <c r="D262" s="4" t="e">
        <f>_xlfn.XLOOKUP(H262,[4]Sheet1!$I$2:$I$40,[4]Sheet1!$Y$2:$Y$40,,2,1)</f>
        <v>#N/A</v>
      </c>
      <c r="E262" s="4" t="e">
        <f>_xlfn.XLOOKUP(H262,[4]Sheet1!$I$2:$I$40,[4]Sheet1!$K$2:$K$40,,2,1)</f>
        <v>#N/A</v>
      </c>
      <c r="F262" s="218" t="e">
        <f>_xlfn.XLOOKUP(H262,[4]Sheet1!$I$2:$I$40,[4]Sheet1!$J$2:$J$40,,2,1)</f>
        <v>#N/A</v>
      </c>
      <c r="G262" s="4">
        <f>[2]Arkusz1!E265</f>
        <v>0</v>
      </c>
      <c r="H262" s="4">
        <f>[2]Arkusz1!J265</f>
        <v>0</v>
      </c>
      <c r="I262" s="213" t="str">
        <f>_xlfn.CONCAT([2]Arkusz1!C265," ",[2]Arkusz1!D265)</f>
        <v xml:space="preserve"> </v>
      </c>
      <c r="J262" s="216">
        <f ca="1">IF(DATEDIF([2]Arkusz1!S265,TODAY(),"Y")&gt;21,0,DATEDIF([2]Arkusz1!S265,TODAY(),"Y"))</f>
        <v>0</v>
      </c>
      <c r="K262" s="4">
        <f>[2]Arkusz1!T265</f>
        <v>0</v>
      </c>
      <c r="L262" s="216">
        <f>[2]Arkusz1!U265</f>
        <v>0</v>
      </c>
      <c r="M262" s="4">
        <f>[2]Arkusz1!P265</f>
        <v>0</v>
      </c>
      <c r="N262" s="4">
        <f>[2]Arkusz1!Q265</f>
        <v>0</v>
      </c>
      <c r="O262" s="4">
        <f>[2]Arkusz1!V265</f>
        <v>0</v>
      </c>
      <c r="P262" s="4">
        <f t="shared" si="6"/>
        <v>176</v>
      </c>
      <c r="Q262" s="4">
        <f>[2]Arkusz1!Y265</f>
        <v>0</v>
      </c>
      <c r="R262" s="4">
        <v>0</v>
      </c>
      <c r="S262" s="4" t="s">
        <v>64</v>
      </c>
      <c r="T262" s="4">
        <f>[2]Arkusz1!AA265</f>
        <v>0</v>
      </c>
      <c r="U262" s="4" t="str">
        <f>IF([2]Arkusz1!O265=[2]Arkusz1!$O$7,"Z",IF([2]Arkusz1!O265=[2]Arkusz1!$O$15,"Ix3",IF([2]Arkusz1!O265=[2]Arkusz1!$O$20,"Ix1","Ix2")))</f>
        <v>Ix2</v>
      </c>
      <c r="V262" s="4">
        <f>[2]Arkusz1!AM265</f>
        <v>0</v>
      </c>
      <c r="W262" s="4">
        <f>[2]Arkusz1!AB266</f>
        <v>0</v>
      </c>
      <c r="X262" s="4" t="e">
        <f>_xlfn.TEXTBEFORE([2]Arkusz1!AC266," (")</f>
        <v>#N/A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I262" s="4" t="s">
        <v>546</v>
      </c>
      <c r="AJ262" s="4" t="e">
        <v>#N/A</v>
      </c>
      <c r="AK262" s="4" t="e">
        <v>#N/A</v>
      </c>
      <c r="AL262" s="4" t="e">
        <v>#N/A</v>
      </c>
      <c r="AM262" s="4">
        <v>0</v>
      </c>
      <c r="AN262" s="4">
        <v>0</v>
      </c>
      <c r="AP262" s="4">
        <f>[1]Hist!$X272</f>
        <v>0</v>
      </c>
    </row>
    <row r="263" spans="1:42" x14ac:dyDescent="0.2">
      <c r="A263" s="4">
        <v>262</v>
      </c>
      <c r="B263" s="215">
        <f>[2]Arkusz1!B266</f>
        <v>0</v>
      </c>
      <c r="C263" s="44" t="str">
        <f>_xlfn.CONCAT([2]Arkusz1!G266," ",[2]Arkusz1!H266)</f>
        <v xml:space="preserve"> </v>
      </c>
      <c r="D263" s="4" t="e">
        <f>_xlfn.XLOOKUP(H263,[4]Sheet1!$I$2:$I$40,[4]Sheet1!$Y$2:$Y$40,,2,1)</f>
        <v>#N/A</v>
      </c>
      <c r="E263" s="4" t="e">
        <f>_xlfn.XLOOKUP(H263,[4]Sheet1!$I$2:$I$40,[4]Sheet1!$K$2:$K$40,,2,1)</f>
        <v>#N/A</v>
      </c>
      <c r="F263" s="218" t="e">
        <f>_xlfn.XLOOKUP(H263,[4]Sheet1!$I$2:$I$40,[4]Sheet1!$J$2:$J$40,,2,1)</f>
        <v>#N/A</v>
      </c>
      <c r="G263" s="4">
        <f>[2]Arkusz1!E266</f>
        <v>0</v>
      </c>
      <c r="H263" s="4">
        <f>[2]Arkusz1!J266</f>
        <v>0</v>
      </c>
      <c r="I263" s="213" t="str">
        <f>_xlfn.CONCAT([2]Arkusz1!C266," ",[2]Arkusz1!D266)</f>
        <v xml:space="preserve"> </v>
      </c>
      <c r="J263" s="216">
        <f ca="1">IF(DATEDIF([2]Arkusz1!S266,TODAY(),"Y")&gt;21,0,DATEDIF([2]Arkusz1!S266,TODAY(),"Y"))</f>
        <v>0</v>
      </c>
      <c r="K263" s="4">
        <f>[2]Arkusz1!T266</f>
        <v>0</v>
      </c>
      <c r="L263" s="216">
        <f>[2]Arkusz1!U266</f>
        <v>0</v>
      </c>
      <c r="M263" s="4">
        <f>[2]Arkusz1!P266</f>
        <v>0</v>
      </c>
      <c r="N263" s="4">
        <f>[2]Arkusz1!Q266</f>
        <v>0</v>
      </c>
      <c r="O263" s="4">
        <f>[2]Arkusz1!V266</f>
        <v>0</v>
      </c>
      <c r="P263" s="4">
        <f t="shared" si="6"/>
        <v>176</v>
      </c>
      <c r="Q263" s="4">
        <f>[2]Arkusz1!Y266</f>
        <v>0</v>
      </c>
      <c r="R263" s="4">
        <v>0</v>
      </c>
      <c r="S263" s="4" t="s">
        <v>64</v>
      </c>
      <c r="T263" s="4">
        <f>[2]Arkusz1!AA266</f>
        <v>0</v>
      </c>
      <c r="U263" s="4" t="str">
        <f>IF([2]Arkusz1!O266=[2]Arkusz1!$O$7,"Z",IF([2]Arkusz1!O266=[2]Arkusz1!$O$15,"Ix3",IF([2]Arkusz1!O266=[2]Arkusz1!$O$20,"Ix1","Ix2")))</f>
        <v>Ix2</v>
      </c>
      <c r="V263" s="4">
        <f>[2]Arkusz1!AM266</f>
        <v>0</v>
      </c>
      <c r="W263" s="4">
        <f>[2]Arkusz1!AB267</f>
        <v>0</v>
      </c>
      <c r="X263" s="4" t="e">
        <f>_xlfn.TEXTBEFORE([2]Arkusz1!AC267," (")</f>
        <v>#N/A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I263" s="4" t="s">
        <v>546</v>
      </c>
      <c r="AJ263" s="4" t="e">
        <v>#N/A</v>
      </c>
      <c r="AK263" s="4" t="e">
        <v>#N/A</v>
      </c>
      <c r="AL263" s="4" t="e">
        <v>#N/A</v>
      </c>
      <c r="AM263" s="4">
        <v>0</v>
      </c>
      <c r="AN263" s="4">
        <v>0</v>
      </c>
      <c r="AP263" s="4">
        <f>[1]Hist!$X273</f>
        <v>0</v>
      </c>
    </row>
    <row r="264" spans="1:42" x14ac:dyDescent="0.2">
      <c r="A264" s="4">
        <v>263</v>
      </c>
      <c r="B264" s="215">
        <f>[2]Arkusz1!B267</f>
        <v>0</v>
      </c>
      <c r="C264" s="44" t="str">
        <f>_xlfn.CONCAT([2]Arkusz1!G267," ",[2]Arkusz1!H267)</f>
        <v xml:space="preserve"> </v>
      </c>
      <c r="D264" s="4" t="e">
        <f>_xlfn.XLOOKUP(H264,[4]Sheet1!$I$2:$I$40,[4]Sheet1!$Y$2:$Y$40,,2,1)</f>
        <v>#N/A</v>
      </c>
      <c r="E264" s="4" t="e">
        <f>_xlfn.XLOOKUP(H264,[4]Sheet1!$I$2:$I$40,[4]Sheet1!$K$2:$K$40,,2,1)</f>
        <v>#N/A</v>
      </c>
      <c r="F264" s="218" t="e">
        <f>_xlfn.XLOOKUP(H264,[4]Sheet1!$I$2:$I$40,[4]Sheet1!$J$2:$J$40,,2,1)</f>
        <v>#N/A</v>
      </c>
      <c r="G264" s="4">
        <f>[2]Arkusz1!E267</f>
        <v>0</v>
      </c>
      <c r="H264" s="4">
        <f>[2]Arkusz1!J267</f>
        <v>0</v>
      </c>
      <c r="I264" s="213" t="str">
        <f>_xlfn.CONCAT([2]Arkusz1!C267," ",[2]Arkusz1!D267)</f>
        <v xml:space="preserve"> </v>
      </c>
      <c r="J264" s="216">
        <f ca="1">IF(DATEDIF([2]Arkusz1!S267,TODAY(),"Y")&gt;21,0,DATEDIF([2]Arkusz1!S267,TODAY(),"Y"))</f>
        <v>0</v>
      </c>
      <c r="K264" s="4">
        <f>[2]Arkusz1!T267</f>
        <v>0</v>
      </c>
      <c r="L264" s="216">
        <f>[2]Arkusz1!U267</f>
        <v>0</v>
      </c>
      <c r="M264" s="4">
        <f>[2]Arkusz1!P267</f>
        <v>0</v>
      </c>
      <c r="N264" s="4">
        <f>[2]Arkusz1!Q267</f>
        <v>0</v>
      </c>
      <c r="O264" s="4">
        <f>[2]Arkusz1!V267</f>
        <v>0</v>
      </c>
      <c r="P264" s="4">
        <f t="shared" si="6"/>
        <v>176</v>
      </c>
      <c r="Q264" s="4">
        <f>[2]Arkusz1!Y267</f>
        <v>0</v>
      </c>
      <c r="R264" s="4">
        <v>0</v>
      </c>
      <c r="S264" s="4" t="s">
        <v>64</v>
      </c>
      <c r="T264" s="4">
        <f>[2]Arkusz1!AA267</f>
        <v>0</v>
      </c>
      <c r="U264" s="4" t="str">
        <f>IF([2]Arkusz1!O267=[2]Arkusz1!$O$7,"Z",IF([2]Arkusz1!O267=[2]Arkusz1!$O$15,"Ix3",IF([2]Arkusz1!O267=[2]Arkusz1!$O$20,"Ix1","Ix2")))</f>
        <v>Ix2</v>
      </c>
      <c r="V264" s="4">
        <f>[2]Arkusz1!AM267</f>
        <v>0</v>
      </c>
      <c r="W264" s="4">
        <f>[2]Arkusz1!AB268</f>
        <v>0</v>
      </c>
      <c r="X264" s="4" t="e">
        <f>_xlfn.TEXTBEFORE([2]Arkusz1!AC268," (")</f>
        <v>#N/A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I264" s="4" t="s">
        <v>546</v>
      </c>
      <c r="AJ264" s="4" t="e">
        <v>#N/A</v>
      </c>
      <c r="AK264" s="4" t="e">
        <v>#N/A</v>
      </c>
      <c r="AL264" s="4" t="e">
        <v>#N/A</v>
      </c>
      <c r="AM264" s="4">
        <v>0</v>
      </c>
      <c r="AN264" s="4">
        <v>0</v>
      </c>
      <c r="AP264" s="4">
        <f>[1]Hist!$X274</f>
        <v>0</v>
      </c>
    </row>
    <row r="265" spans="1:42" x14ac:dyDescent="0.2">
      <c r="A265" s="4">
        <v>264</v>
      </c>
      <c r="B265" s="215">
        <f>[2]Arkusz1!B268</f>
        <v>0</v>
      </c>
      <c r="C265" s="44" t="str">
        <f>_xlfn.CONCAT([2]Arkusz1!G268," ",[2]Arkusz1!H268)</f>
        <v xml:space="preserve"> </v>
      </c>
      <c r="D265" s="4" t="e">
        <f>_xlfn.XLOOKUP(H265,[4]Sheet1!$I$2:$I$40,[4]Sheet1!$Y$2:$Y$40,,2,1)</f>
        <v>#N/A</v>
      </c>
      <c r="E265" s="4" t="e">
        <f>_xlfn.XLOOKUP(H265,[4]Sheet1!$I$2:$I$40,[4]Sheet1!$K$2:$K$40,,2,1)</f>
        <v>#N/A</v>
      </c>
      <c r="F265" s="218" t="e">
        <f>_xlfn.XLOOKUP(H265,[4]Sheet1!$I$2:$I$40,[4]Sheet1!$J$2:$J$40,,2,1)</f>
        <v>#N/A</v>
      </c>
      <c r="G265" s="4">
        <f>[2]Arkusz1!E268</f>
        <v>0</v>
      </c>
      <c r="H265" s="4">
        <f>[2]Arkusz1!J268</f>
        <v>0</v>
      </c>
      <c r="I265" s="213" t="str">
        <f>_xlfn.CONCAT([2]Arkusz1!C268," ",[2]Arkusz1!D268)</f>
        <v xml:space="preserve"> </v>
      </c>
      <c r="J265" s="216">
        <f ca="1">IF(DATEDIF([2]Arkusz1!S268,TODAY(),"Y")&gt;21,0,DATEDIF([2]Arkusz1!S268,TODAY(),"Y"))</f>
        <v>0</v>
      </c>
      <c r="K265" s="4">
        <f>[2]Arkusz1!T268</f>
        <v>0</v>
      </c>
      <c r="L265" s="216">
        <f>[2]Arkusz1!U268</f>
        <v>0</v>
      </c>
      <c r="M265" s="4">
        <f>[2]Arkusz1!P268</f>
        <v>0</v>
      </c>
      <c r="N265" s="4">
        <f>[2]Arkusz1!Q268</f>
        <v>0</v>
      </c>
      <c r="O265" s="4">
        <f>[2]Arkusz1!V268</f>
        <v>0</v>
      </c>
      <c r="P265" s="4">
        <f t="shared" si="6"/>
        <v>176</v>
      </c>
      <c r="Q265" s="4">
        <f>[2]Arkusz1!Y268</f>
        <v>0</v>
      </c>
      <c r="R265" s="4">
        <v>0</v>
      </c>
      <c r="S265" s="4" t="s">
        <v>64</v>
      </c>
      <c r="T265" s="4">
        <f>[2]Arkusz1!AA268</f>
        <v>0</v>
      </c>
      <c r="U265" s="4" t="str">
        <f>IF([2]Arkusz1!O268=[2]Arkusz1!$O$7,"Z",IF([2]Arkusz1!O268=[2]Arkusz1!$O$15,"Ix3",IF([2]Arkusz1!O268=[2]Arkusz1!$O$20,"Ix1","Ix2")))</f>
        <v>Ix2</v>
      </c>
      <c r="V265" s="4">
        <f>[2]Arkusz1!AM268</f>
        <v>0</v>
      </c>
      <c r="W265" s="4">
        <f>[2]Arkusz1!AB269</f>
        <v>0</v>
      </c>
      <c r="X265" s="4" t="e">
        <f>_xlfn.TEXTBEFORE([2]Arkusz1!AC269," (")</f>
        <v>#N/A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I265" s="4" t="s">
        <v>546</v>
      </c>
      <c r="AJ265" s="4" t="e">
        <v>#N/A</v>
      </c>
      <c r="AK265" s="4" t="e">
        <v>#N/A</v>
      </c>
      <c r="AL265" s="4" t="e">
        <v>#N/A</v>
      </c>
      <c r="AM265" s="4">
        <v>0</v>
      </c>
      <c r="AN265" s="4">
        <v>0</v>
      </c>
      <c r="AP265" s="4">
        <f>[1]Hist!$X275</f>
        <v>0</v>
      </c>
    </row>
    <row r="266" spans="1:42" x14ac:dyDescent="0.2">
      <c r="A266" s="4">
        <v>265</v>
      </c>
      <c r="B266" s="215">
        <f>[2]Arkusz1!B269</f>
        <v>0</v>
      </c>
      <c r="C266" s="44" t="str">
        <f>_xlfn.CONCAT([2]Arkusz1!G269," ",[2]Arkusz1!H269)</f>
        <v xml:space="preserve"> </v>
      </c>
      <c r="D266" s="4" t="e">
        <f>_xlfn.XLOOKUP(H266,[4]Sheet1!$I$2:$I$40,[4]Sheet1!$Y$2:$Y$40,,2,1)</f>
        <v>#N/A</v>
      </c>
      <c r="E266" s="4" t="e">
        <f>_xlfn.XLOOKUP(H266,[4]Sheet1!$I$2:$I$40,[4]Sheet1!$K$2:$K$40,,2,1)</f>
        <v>#N/A</v>
      </c>
      <c r="F266" s="218" t="e">
        <f>_xlfn.XLOOKUP(H266,[4]Sheet1!$I$2:$I$40,[4]Sheet1!$J$2:$J$40,,2,1)</f>
        <v>#N/A</v>
      </c>
      <c r="G266" s="4">
        <f>[2]Arkusz1!E269</f>
        <v>0</v>
      </c>
      <c r="H266" s="4">
        <f>[2]Arkusz1!J269</f>
        <v>0</v>
      </c>
      <c r="I266" s="213" t="str">
        <f>_xlfn.CONCAT([2]Arkusz1!C269," ",[2]Arkusz1!D269)</f>
        <v xml:space="preserve"> </v>
      </c>
      <c r="J266" s="216">
        <f ca="1">IF(DATEDIF([2]Arkusz1!S269,TODAY(),"Y")&gt;21,0,DATEDIF([2]Arkusz1!S269,TODAY(),"Y"))</f>
        <v>0</v>
      </c>
      <c r="K266" s="4">
        <f>[2]Arkusz1!T269</f>
        <v>0</v>
      </c>
      <c r="L266" s="216">
        <f>[2]Arkusz1!U269</f>
        <v>0</v>
      </c>
      <c r="M266" s="4">
        <f>[2]Arkusz1!P269</f>
        <v>0</v>
      </c>
      <c r="N266" s="4">
        <f>[2]Arkusz1!Q269</f>
        <v>0</v>
      </c>
      <c r="O266" s="4">
        <f>[2]Arkusz1!V269</f>
        <v>0</v>
      </c>
      <c r="P266" s="4">
        <f t="shared" si="6"/>
        <v>176</v>
      </c>
      <c r="Q266" s="4">
        <f>[2]Arkusz1!Y269</f>
        <v>0</v>
      </c>
      <c r="R266" s="4">
        <v>0</v>
      </c>
      <c r="S266" s="4" t="s">
        <v>64</v>
      </c>
      <c r="T266" s="4">
        <f>[2]Arkusz1!AA269</f>
        <v>0</v>
      </c>
      <c r="U266" s="4" t="str">
        <f>IF([2]Arkusz1!O269=[2]Arkusz1!$O$7,"Z",IF([2]Arkusz1!O269=[2]Arkusz1!$O$15,"Ix3",IF([2]Arkusz1!O269=[2]Arkusz1!$O$20,"Ix1","Ix2")))</f>
        <v>Ix2</v>
      </c>
      <c r="V266" s="4">
        <f>[2]Arkusz1!AM269</f>
        <v>0</v>
      </c>
      <c r="W266" s="4">
        <f>[2]Arkusz1!AB270</f>
        <v>0</v>
      </c>
      <c r="X266" s="4" t="e">
        <f>_xlfn.TEXTBEFORE([2]Arkusz1!AC270," (")</f>
        <v>#N/A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I266" s="4" t="s">
        <v>546</v>
      </c>
      <c r="AJ266" s="4" t="e">
        <v>#N/A</v>
      </c>
      <c r="AK266" s="4" t="e">
        <v>#N/A</v>
      </c>
      <c r="AL266" s="4" t="e">
        <v>#N/A</v>
      </c>
      <c r="AM266" s="4">
        <v>0</v>
      </c>
      <c r="AN266" s="4">
        <v>0</v>
      </c>
      <c r="AP266" s="4">
        <f>[1]Hist!$X276</f>
        <v>0</v>
      </c>
    </row>
    <row r="267" spans="1:42" x14ac:dyDescent="0.2">
      <c r="A267" s="4">
        <v>266</v>
      </c>
      <c r="B267" s="215">
        <f>[2]Arkusz1!B270</f>
        <v>0</v>
      </c>
      <c r="C267" s="44" t="str">
        <f>_xlfn.CONCAT([2]Arkusz1!G270," ",[2]Arkusz1!H270)</f>
        <v xml:space="preserve"> </v>
      </c>
      <c r="D267" s="4" t="e">
        <f>_xlfn.XLOOKUP(H267,[4]Sheet1!$I$2:$I$40,[4]Sheet1!$Y$2:$Y$40,,2,1)</f>
        <v>#N/A</v>
      </c>
      <c r="E267" s="4" t="e">
        <f>_xlfn.XLOOKUP(H267,[4]Sheet1!$I$2:$I$40,[4]Sheet1!$K$2:$K$40,,2,1)</f>
        <v>#N/A</v>
      </c>
      <c r="F267" s="218" t="e">
        <f>_xlfn.XLOOKUP(H267,[4]Sheet1!$I$2:$I$40,[4]Sheet1!$J$2:$J$40,,2,1)</f>
        <v>#N/A</v>
      </c>
      <c r="G267" s="4">
        <f>[2]Arkusz1!E270</f>
        <v>0</v>
      </c>
      <c r="H267" s="4">
        <f>[2]Arkusz1!J270</f>
        <v>0</v>
      </c>
      <c r="I267" s="213" t="str">
        <f>_xlfn.CONCAT([2]Arkusz1!C270," ",[2]Arkusz1!D270)</f>
        <v xml:space="preserve"> </v>
      </c>
      <c r="J267" s="216">
        <f ca="1">IF(DATEDIF([2]Arkusz1!S270,TODAY(),"Y")&gt;21,0,DATEDIF([2]Arkusz1!S270,TODAY(),"Y"))</f>
        <v>0</v>
      </c>
      <c r="K267" s="4">
        <f>[2]Arkusz1!T270</f>
        <v>0</v>
      </c>
      <c r="L267" s="216">
        <f>[2]Arkusz1!U270</f>
        <v>0</v>
      </c>
      <c r="M267" s="4">
        <f>[2]Arkusz1!P270</f>
        <v>0</v>
      </c>
      <c r="N267" s="4">
        <f>[2]Arkusz1!Q270</f>
        <v>0</v>
      </c>
      <c r="O267" s="4">
        <f>[2]Arkusz1!V270</f>
        <v>0</v>
      </c>
      <c r="P267" s="4">
        <f t="shared" si="6"/>
        <v>176</v>
      </c>
      <c r="Q267" s="4">
        <f>[2]Arkusz1!Y270</f>
        <v>0</v>
      </c>
      <c r="R267" s="4">
        <v>0</v>
      </c>
      <c r="S267" s="4" t="s">
        <v>64</v>
      </c>
      <c r="T267" s="4">
        <f>[2]Arkusz1!AA270</f>
        <v>0</v>
      </c>
      <c r="U267" s="4" t="str">
        <f>IF([2]Arkusz1!O270=[2]Arkusz1!$O$7,"Z",IF([2]Arkusz1!O270=[2]Arkusz1!$O$15,"Ix3",IF([2]Arkusz1!O270=[2]Arkusz1!$O$20,"Ix1","Ix2")))</f>
        <v>Ix2</v>
      </c>
      <c r="V267" s="4">
        <f>[2]Arkusz1!AM270</f>
        <v>0</v>
      </c>
      <c r="W267" s="4">
        <f>[2]Arkusz1!AB271</f>
        <v>0</v>
      </c>
      <c r="X267" s="4" t="e">
        <f>_xlfn.TEXTBEFORE([2]Arkusz1!AC271," (")</f>
        <v>#N/A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I267" s="4" t="s">
        <v>546</v>
      </c>
      <c r="AJ267" s="4" t="e">
        <v>#N/A</v>
      </c>
      <c r="AK267" s="4" t="e">
        <v>#N/A</v>
      </c>
      <c r="AL267" s="4" t="e">
        <v>#N/A</v>
      </c>
      <c r="AM267" s="4">
        <v>0</v>
      </c>
      <c r="AN267" s="4">
        <v>0</v>
      </c>
      <c r="AP267" s="4">
        <f>[1]Hist!$X277</f>
        <v>0</v>
      </c>
    </row>
    <row r="268" spans="1:42" x14ac:dyDescent="0.2">
      <c r="A268" s="4">
        <v>267</v>
      </c>
      <c r="B268" s="215">
        <f>[2]Arkusz1!B271</f>
        <v>0</v>
      </c>
      <c r="C268" s="44" t="str">
        <f>_xlfn.CONCAT([2]Arkusz1!G271," ",[2]Arkusz1!H271)</f>
        <v xml:space="preserve"> </v>
      </c>
      <c r="D268" s="4" t="e">
        <f>_xlfn.XLOOKUP(H268,[4]Sheet1!$I$2:$I$40,[4]Sheet1!$Y$2:$Y$40,,2,1)</f>
        <v>#N/A</v>
      </c>
      <c r="E268" s="4" t="e">
        <f>_xlfn.XLOOKUP(H268,[4]Sheet1!$I$2:$I$40,[4]Sheet1!$K$2:$K$40,,2,1)</f>
        <v>#N/A</v>
      </c>
      <c r="F268" s="218" t="e">
        <f>_xlfn.XLOOKUP(H268,[4]Sheet1!$I$2:$I$40,[4]Sheet1!$J$2:$J$40,,2,1)</f>
        <v>#N/A</v>
      </c>
      <c r="G268" s="4">
        <f>[2]Arkusz1!E271</f>
        <v>0</v>
      </c>
      <c r="H268" s="4">
        <f>[2]Arkusz1!J271</f>
        <v>0</v>
      </c>
      <c r="I268" s="213" t="str">
        <f>_xlfn.CONCAT([2]Arkusz1!C271," ",[2]Arkusz1!D271)</f>
        <v xml:space="preserve"> </v>
      </c>
      <c r="J268" s="216">
        <f ca="1">IF(DATEDIF([2]Arkusz1!S271,TODAY(),"Y")&gt;21,0,DATEDIF([2]Arkusz1!S271,TODAY(),"Y"))</f>
        <v>0</v>
      </c>
      <c r="K268" s="4">
        <f>[2]Arkusz1!T271</f>
        <v>0</v>
      </c>
      <c r="L268" s="216">
        <f>[2]Arkusz1!U271</f>
        <v>0</v>
      </c>
      <c r="M268" s="4">
        <f>[2]Arkusz1!P271</f>
        <v>0</v>
      </c>
      <c r="N268" s="4">
        <f>[2]Arkusz1!Q271</f>
        <v>0</v>
      </c>
      <c r="O268" s="4">
        <f>[2]Arkusz1!V271</f>
        <v>0</v>
      </c>
      <c r="P268" s="4">
        <f t="shared" si="6"/>
        <v>176</v>
      </c>
      <c r="Q268" s="4">
        <f>[2]Arkusz1!Y271</f>
        <v>0</v>
      </c>
      <c r="R268" s="4">
        <v>0</v>
      </c>
      <c r="S268" s="4" t="s">
        <v>64</v>
      </c>
      <c r="T268" s="4">
        <f>[2]Arkusz1!AA271</f>
        <v>0</v>
      </c>
      <c r="U268" s="4" t="str">
        <f>IF([2]Arkusz1!O271=[2]Arkusz1!$O$7,"Z",IF([2]Arkusz1!O271=[2]Arkusz1!$O$15,"Ix3",IF([2]Arkusz1!O271=[2]Arkusz1!$O$20,"Ix1","Ix2")))</f>
        <v>Ix2</v>
      </c>
      <c r="V268" s="4">
        <f>[2]Arkusz1!AM271</f>
        <v>0</v>
      </c>
      <c r="W268" s="4">
        <f>[2]Arkusz1!AB272</f>
        <v>0</v>
      </c>
      <c r="X268" s="4" t="e">
        <f>_xlfn.TEXTBEFORE([2]Arkusz1!AC272," (")</f>
        <v>#N/A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I268" s="4" t="s">
        <v>546</v>
      </c>
      <c r="AJ268" s="4" t="e">
        <v>#N/A</v>
      </c>
      <c r="AK268" s="4" t="e">
        <v>#N/A</v>
      </c>
      <c r="AL268" s="4" t="e">
        <v>#N/A</v>
      </c>
      <c r="AM268" s="4">
        <v>0</v>
      </c>
      <c r="AN268" s="4">
        <v>0</v>
      </c>
      <c r="AP268" s="4">
        <f>[1]Hist!$X278</f>
        <v>0</v>
      </c>
    </row>
    <row r="269" spans="1:42" x14ac:dyDescent="0.2">
      <c r="A269" s="4">
        <v>268</v>
      </c>
      <c r="B269" s="215">
        <f>[2]Arkusz1!B272</f>
        <v>0</v>
      </c>
      <c r="C269" s="44" t="str">
        <f>_xlfn.CONCAT([2]Arkusz1!G272," ",[2]Arkusz1!H272)</f>
        <v xml:space="preserve"> </v>
      </c>
      <c r="D269" s="4" t="e">
        <f>_xlfn.XLOOKUP(H269,[4]Sheet1!$I$2:$I$40,[4]Sheet1!$Y$2:$Y$40,,2,1)</f>
        <v>#N/A</v>
      </c>
      <c r="E269" s="4" t="e">
        <f>_xlfn.XLOOKUP(H269,[4]Sheet1!$I$2:$I$40,[4]Sheet1!$K$2:$K$40,,2,1)</f>
        <v>#N/A</v>
      </c>
      <c r="F269" s="218" t="e">
        <f>_xlfn.XLOOKUP(H269,[4]Sheet1!$I$2:$I$40,[4]Sheet1!$J$2:$J$40,,2,1)</f>
        <v>#N/A</v>
      </c>
      <c r="G269" s="4">
        <f>[2]Arkusz1!E272</f>
        <v>0</v>
      </c>
      <c r="H269" s="4">
        <f>[2]Arkusz1!J272</f>
        <v>0</v>
      </c>
      <c r="I269" s="213" t="str">
        <f>_xlfn.CONCAT([2]Arkusz1!C272," ",[2]Arkusz1!D272)</f>
        <v xml:space="preserve"> </v>
      </c>
      <c r="J269" s="216">
        <f ca="1">IF(DATEDIF([2]Arkusz1!S272,TODAY(),"Y")&gt;21,0,DATEDIF([2]Arkusz1!S272,TODAY(),"Y"))</f>
        <v>0</v>
      </c>
      <c r="K269" s="4">
        <f>[2]Arkusz1!T272</f>
        <v>0</v>
      </c>
      <c r="L269" s="216">
        <f>[2]Arkusz1!U272</f>
        <v>0</v>
      </c>
      <c r="M269" s="4">
        <f>[2]Arkusz1!P272</f>
        <v>0</v>
      </c>
      <c r="N269" s="4">
        <f>[2]Arkusz1!Q272</f>
        <v>0</v>
      </c>
      <c r="O269" s="4">
        <f>[2]Arkusz1!V272</f>
        <v>0</v>
      </c>
      <c r="P269" s="4">
        <f t="shared" si="6"/>
        <v>176</v>
      </c>
      <c r="Q269" s="4">
        <f>[2]Arkusz1!Y272</f>
        <v>0</v>
      </c>
      <c r="R269" s="4">
        <v>0</v>
      </c>
      <c r="S269" s="4" t="s">
        <v>64</v>
      </c>
      <c r="T269" s="4">
        <f>[2]Arkusz1!AA272</f>
        <v>0</v>
      </c>
      <c r="U269" s="4" t="str">
        <f>IF([2]Arkusz1!O272=[2]Arkusz1!$O$7,"Z",IF([2]Arkusz1!O272=[2]Arkusz1!$O$15,"Ix3",IF([2]Arkusz1!O272=[2]Arkusz1!$O$20,"Ix1","Ix2")))</f>
        <v>Ix2</v>
      </c>
      <c r="V269" s="4">
        <f>[2]Arkusz1!AM272</f>
        <v>0</v>
      </c>
      <c r="W269" s="4">
        <f>[2]Arkusz1!AB273</f>
        <v>0</v>
      </c>
      <c r="X269" s="4" t="e">
        <f>_xlfn.TEXTBEFORE([2]Arkusz1!AC273," (")</f>
        <v>#N/A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I269" s="4" t="s">
        <v>546</v>
      </c>
      <c r="AJ269" s="4" t="e">
        <v>#N/A</v>
      </c>
      <c r="AK269" s="4" t="e">
        <v>#N/A</v>
      </c>
      <c r="AL269" s="4" t="e">
        <v>#N/A</v>
      </c>
      <c r="AM269" s="4">
        <v>0</v>
      </c>
      <c r="AN269" s="4">
        <v>0</v>
      </c>
      <c r="AP269" s="4">
        <f>[1]Hist!$X279</f>
        <v>0</v>
      </c>
    </row>
    <row r="270" spans="1:42" x14ac:dyDescent="0.2">
      <c r="A270" s="4">
        <v>269</v>
      </c>
      <c r="B270" s="215">
        <f>[2]Arkusz1!B273</f>
        <v>0</v>
      </c>
      <c r="C270" s="44" t="str">
        <f>_xlfn.CONCAT([2]Arkusz1!G273," ",[2]Arkusz1!H273)</f>
        <v xml:space="preserve"> </v>
      </c>
      <c r="D270" s="4" t="e">
        <f>_xlfn.XLOOKUP(H270,[4]Sheet1!$I$2:$I$40,[4]Sheet1!$Y$2:$Y$40,,2,1)</f>
        <v>#N/A</v>
      </c>
      <c r="E270" s="4" t="e">
        <f>_xlfn.XLOOKUP(H270,[4]Sheet1!$I$2:$I$40,[4]Sheet1!$K$2:$K$40,,2,1)</f>
        <v>#N/A</v>
      </c>
      <c r="F270" s="218" t="e">
        <f>_xlfn.XLOOKUP(H270,[4]Sheet1!$I$2:$I$40,[4]Sheet1!$J$2:$J$40,,2,1)</f>
        <v>#N/A</v>
      </c>
      <c r="G270" s="4">
        <f>[2]Arkusz1!E273</f>
        <v>0</v>
      </c>
      <c r="H270" s="4">
        <f>[2]Arkusz1!J273</f>
        <v>0</v>
      </c>
      <c r="I270" s="213" t="str">
        <f>_xlfn.CONCAT([2]Arkusz1!C273," ",[2]Arkusz1!D273)</f>
        <v xml:space="preserve"> </v>
      </c>
      <c r="J270" s="216">
        <f ca="1">IF(DATEDIF([2]Arkusz1!S273,TODAY(),"Y")&gt;21,0,DATEDIF([2]Arkusz1!S273,TODAY(),"Y"))</f>
        <v>0</v>
      </c>
      <c r="K270" s="4">
        <f>[2]Arkusz1!T273</f>
        <v>0</v>
      </c>
      <c r="L270" s="216">
        <f>[2]Arkusz1!U273</f>
        <v>0</v>
      </c>
      <c r="M270" s="4">
        <f>[2]Arkusz1!P273</f>
        <v>0</v>
      </c>
      <c r="N270" s="4">
        <f>[2]Arkusz1!Q273</f>
        <v>0</v>
      </c>
      <c r="O270" s="4">
        <f>[2]Arkusz1!V273</f>
        <v>0</v>
      </c>
      <c r="P270" s="4">
        <f t="shared" si="6"/>
        <v>176</v>
      </c>
      <c r="Q270" s="4">
        <f>[2]Arkusz1!Y273</f>
        <v>0</v>
      </c>
      <c r="R270" s="4">
        <v>0</v>
      </c>
      <c r="S270" s="4" t="s">
        <v>64</v>
      </c>
      <c r="T270" s="4">
        <f>[2]Arkusz1!AA273</f>
        <v>0</v>
      </c>
      <c r="U270" s="4" t="str">
        <f>IF([2]Arkusz1!O273=[2]Arkusz1!$O$7,"Z",IF([2]Arkusz1!O273=[2]Arkusz1!$O$15,"Ix3",IF([2]Arkusz1!O273=[2]Arkusz1!$O$20,"Ix1","Ix2")))</f>
        <v>Ix2</v>
      </c>
      <c r="V270" s="4">
        <f>[2]Arkusz1!AM273</f>
        <v>0</v>
      </c>
      <c r="W270" s="4">
        <f>[2]Arkusz1!AB274</f>
        <v>0</v>
      </c>
      <c r="X270" s="4" t="e">
        <f>_xlfn.TEXTBEFORE([2]Arkusz1!AC274," (")</f>
        <v>#N/A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I270" s="4" t="s">
        <v>546</v>
      </c>
      <c r="AJ270" s="4" t="e">
        <v>#N/A</v>
      </c>
      <c r="AK270" s="4" t="e">
        <v>#N/A</v>
      </c>
      <c r="AL270" s="4" t="e">
        <v>#N/A</v>
      </c>
      <c r="AM270" s="4">
        <v>0</v>
      </c>
      <c r="AN270" s="4">
        <v>0</v>
      </c>
      <c r="AP270" s="4">
        <f>[1]Hist!$X280</f>
        <v>0</v>
      </c>
    </row>
    <row r="271" spans="1:42" x14ac:dyDescent="0.2">
      <c r="A271" s="4">
        <v>270</v>
      </c>
      <c r="B271" s="215">
        <f>[2]Arkusz1!B274</f>
        <v>0</v>
      </c>
      <c r="C271" s="44" t="str">
        <f>_xlfn.CONCAT([2]Arkusz1!G274," ",[2]Arkusz1!H274)</f>
        <v xml:space="preserve"> </v>
      </c>
      <c r="D271" s="4" t="e">
        <f>_xlfn.XLOOKUP(H271,[4]Sheet1!$I$2:$I$40,[4]Sheet1!$Y$2:$Y$40,,2,1)</f>
        <v>#N/A</v>
      </c>
      <c r="E271" s="4" t="e">
        <f>_xlfn.XLOOKUP(H271,[4]Sheet1!$I$2:$I$40,[4]Sheet1!$K$2:$K$40,,2,1)</f>
        <v>#N/A</v>
      </c>
      <c r="F271" s="218" t="e">
        <f>_xlfn.XLOOKUP(H271,[4]Sheet1!$I$2:$I$40,[4]Sheet1!$J$2:$J$40,,2,1)</f>
        <v>#N/A</v>
      </c>
      <c r="G271" s="4">
        <f>[2]Arkusz1!E274</f>
        <v>0</v>
      </c>
      <c r="H271" s="4">
        <f>[2]Arkusz1!J274</f>
        <v>0</v>
      </c>
      <c r="I271" s="213" t="str">
        <f>_xlfn.CONCAT([2]Arkusz1!C274," ",[2]Arkusz1!D274)</f>
        <v xml:space="preserve"> </v>
      </c>
      <c r="J271" s="216">
        <f ca="1">IF(DATEDIF([2]Arkusz1!S274,TODAY(),"Y")&gt;21,0,DATEDIF([2]Arkusz1!S274,TODAY(),"Y"))</f>
        <v>0</v>
      </c>
      <c r="K271" s="4">
        <f>[2]Arkusz1!T274</f>
        <v>0</v>
      </c>
      <c r="L271" s="216">
        <f>[2]Arkusz1!U274</f>
        <v>0</v>
      </c>
      <c r="M271" s="4">
        <f>[2]Arkusz1!P274</f>
        <v>0</v>
      </c>
      <c r="N271" s="4">
        <f>[2]Arkusz1!Q274</f>
        <v>0</v>
      </c>
      <c r="O271" s="4">
        <f>[2]Arkusz1!V274</f>
        <v>0</v>
      </c>
      <c r="P271" s="4">
        <f t="shared" si="6"/>
        <v>176</v>
      </c>
      <c r="Q271" s="4">
        <f>[2]Arkusz1!Y274</f>
        <v>0</v>
      </c>
      <c r="R271" s="4">
        <v>0</v>
      </c>
      <c r="S271" s="4" t="s">
        <v>64</v>
      </c>
      <c r="T271" s="4">
        <f>[2]Arkusz1!AA274</f>
        <v>0</v>
      </c>
      <c r="U271" s="4" t="str">
        <f>IF([2]Arkusz1!O274=[2]Arkusz1!$O$7,"Z",IF([2]Arkusz1!O274=[2]Arkusz1!$O$15,"Ix3",IF([2]Arkusz1!O274=[2]Arkusz1!$O$20,"Ix1","Ix2")))</f>
        <v>Ix2</v>
      </c>
      <c r="V271" s="4">
        <f>[2]Arkusz1!AM274</f>
        <v>0</v>
      </c>
      <c r="W271" s="4">
        <f>[2]Arkusz1!AB275</f>
        <v>0</v>
      </c>
      <c r="X271" s="4" t="e">
        <f>_xlfn.TEXTBEFORE([2]Arkusz1!AC275," (")</f>
        <v>#N/A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I271" s="4" t="s">
        <v>546</v>
      </c>
      <c r="AJ271" s="4" t="e">
        <v>#N/A</v>
      </c>
      <c r="AK271" s="4" t="e">
        <v>#N/A</v>
      </c>
      <c r="AL271" s="4" t="e">
        <v>#N/A</v>
      </c>
      <c r="AM271" s="4">
        <v>0</v>
      </c>
      <c r="AN271" s="4">
        <v>0</v>
      </c>
      <c r="AP271" s="4">
        <f>[1]Hist!$X281</f>
        <v>0</v>
      </c>
    </row>
    <row r="272" spans="1:42" x14ac:dyDescent="0.2">
      <c r="A272" s="4">
        <v>271</v>
      </c>
      <c r="B272" s="215">
        <f>[2]Arkusz1!B275</f>
        <v>0</v>
      </c>
      <c r="C272" s="44" t="str">
        <f>_xlfn.CONCAT([2]Arkusz1!G275," ",[2]Arkusz1!H275)</f>
        <v xml:space="preserve"> </v>
      </c>
      <c r="D272" s="4" t="e">
        <f>_xlfn.XLOOKUP(H272,[4]Sheet1!$I$2:$I$40,[4]Sheet1!$Y$2:$Y$40,,2,1)</f>
        <v>#N/A</v>
      </c>
      <c r="E272" s="4" t="e">
        <f>_xlfn.XLOOKUP(H272,[4]Sheet1!$I$2:$I$40,[4]Sheet1!$K$2:$K$40,,2,1)</f>
        <v>#N/A</v>
      </c>
      <c r="F272" s="218" t="e">
        <f>_xlfn.XLOOKUP(H272,[4]Sheet1!$I$2:$I$40,[4]Sheet1!$J$2:$J$40,,2,1)</f>
        <v>#N/A</v>
      </c>
      <c r="G272" s="4">
        <f>[2]Arkusz1!E275</f>
        <v>0</v>
      </c>
      <c r="H272" s="4">
        <f>[2]Arkusz1!J275</f>
        <v>0</v>
      </c>
      <c r="I272" s="213" t="str">
        <f>_xlfn.CONCAT([2]Arkusz1!C275," ",[2]Arkusz1!D275)</f>
        <v xml:space="preserve"> </v>
      </c>
      <c r="J272" s="216">
        <f ca="1">IF(DATEDIF([2]Arkusz1!S275,TODAY(),"Y")&gt;21,0,DATEDIF([2]Arkusz1!S275,TODAY(),"Y"))</f>
        <v>0</v>
      </c>
      <c r="K272" s="4">
        <f>[2]Arkusz1!T275</f>
        <v>0</v>
      </c>
      <c r="L272" s="216">
        <f>[2]Arkusz1!U275</f>
        <v>0</v>
      </c>
      <c r="M272" s="4">
        <f>[2]Arkusz1!P275</f>
        <v>0</v>
      </c>
      <c r="N272" s="4">
        <f>[2]Arkusz1!Q275</f>
        <v>0</v>
      </c>
      <c r="O272" s="4">
        <f>[2]Arkusz1!V275</f>
        <v>0</v>
      </c>
      <c r="P272" s="4">
        <f t="shared" si="6"/>
        <v>176</v>
      </c>
      <c r="Q272" s="4">
        <f>[2]Arkusz1!Y275</f>
        <v>0</v>
      </c>
      <c r="R272" s="4">
        <v>0</v>
      </c>
      <c r="S272" s="4" t="s">
        <v>64</v>
      </c>
      <c r="T272" s="4">
        <f>[2]Arkusz1!AA275</f>
        <v>0</v>
      </c>
      <c r="U272" s="4" t="str">
        <f>IF([2]Arkusz1!O275=[2]Arkusz1!$O$7,"Z",IF([2]Arkusz1!O275=[2]Arkusz1!$O$15,"Ix3",IF([2]Arkusz1!O275=[2]Arkusz1!$O$20,"Ix1","Ix2")))</f>
        <v>Ix2</v>
      </c>
      <c r="V272" s="4">
        <f>[2]Arkusz1!AM275</f>
        <v>0</v>
      </c>
      <c r="W272" s="4">
        <f>[2]Arkusz1!AB276</f>
        <v>0</v>
      </c>
      <c r="X272" s="4" t="e">
        <f>_xlfn.TEXTBEFORE([2]Arkusz1!AC276," (")</f>
        <v>#N/A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I272" s="4" t="s">
        <v>546</v>
      </c>
      <c r="AJ272" s="4" t="e">
        <v>#N/A</v>
      </c>
      <c r="AK272" s="4" t="e">
        <v>#N/A</v>
      </c>
      <c r="AL272" s="4" t="e">
        <v>#N/A</v>
      </c>
      <c r="AM272" s="4">
        <v>0</v>
      </c>
      <c r="AN272" s="4">
        <v>0</v>
      </c>
      <c r="AP272" s="4">
        <f>[1]Hist!$X282</f>
        <v>0</v>
      </c>
    </row>
    <row r="273" spans="1:42" x14ac:dyDescent="0.2">
      <c r="A273" s="4">
        <v>272</v>
      </c>
      <c r="B273" s="215">
        <f>[2]Arkusz1!B276</f>
        <v>0</v>
      </c>
      <c r="C273" s="44" t="str">
        <f>_xlfn.CONCAT([2]Arkusz1!G276," ",[2]Arkusz1!H276)</f>
        <v xml:space="preserve"> </v>
      </c>
      <c r="D273" s="4" t="e">
        <f>_xlfn.XLOOKUP(H273,[4]Sheet1!$I$2:$I$40,[4]Sheet1!$Y$2:$Y$40,,2,1)</f>
        <v>#N/A</v>
      </c>
      <c r="E273" s="4" t="e">
        <f>_xlfn.XLOOKUP(H273,[4]Sheet1!$I$2:$I$40,[4]Sheet1!$K$2:$K$40,,2,1)</f>
        <v>#N/A</v>
      </c>
      <c r="F273" s="218" t="e">
        <f>_xlfn.XLOOKUP(H273,[4]Sheet1!$I$2:$I$40,[4]Sheet1!$J$2:$J$40,,2,1)</f>
        <v>#N/A</v>
      </c>
      <c r="G273" s="4">
        <f>[2]Arkusz1!E276</f>
        <v>0</v>
      </c>
      <c r="H273" s="4">
        <f>[2]Arkusz1!J276</f>
        <v>0</v>
      </c>
      <c r="I273" s="213" t="str">
        <f>_xlfn.CONCAT([2]Arkusz1!C276," ",[2]Arkusz1!D276)</f>
        <v xml:space="preserve"> </v>
      </c>
      <c r="J273" s="216">
        <f ca="1">IF(DATEDIF([2]Arkusz1!S276,TODAY(),"Y")&gt;21,0,DATEDIF([2]Arkusz1!S276,TODAY(),"Y"))</f>
        <v>0</v>
      </c>
      <c r="K273" s="4">
        <f>[2]Arkusz1!T276</f>
        <v>0</v>
      </c>
      <c r="L273" s="216">
        <f>[2]Arkusz1!U276</f>
        <v>0</v>
      </c>
      <c r="M273" s="4">
        <f>[2]Arkusz1!P276</f>
        <v>0</v>
      </c>
      <c r="N273" s="4">
        <f>[2]Arkusz1!Q276</f>
        <v>0</v>
      </c>
      <c r="O273" s="4">
        <f>[2]Arkusz1!V276</f>
        <v>0</v>
      </c>
      <c r="P273" s="4">
        <f t="shared" si="6"/>
        <v>176</v>
      </c>
      <c r="Q273" s="4">
        <f>[2]Arkusz1!Y276</f>
        <v>0</v>
      </c>
      <c r="R273" s="4">
        <v>0</v>
      </c>
      <c r="S273" s="4" t="s">
        <v>64</v>
      </c>
      <c r="T273" s="4">
        <f>[2]Arkusz1!AA276</f>
        <v>0</v>
      </c>
      <c r="U273" s="4" t="str">
        <f>IF([2]Arkusz1!O276=[2]Arkusz1!$O$7,"Z",IF([2]Arkusz1!O276=[2]Arkusz1!$O$15,"Ix3",IF([2]Arkusz1!O276=[2]Arkusz1!$O$20,"Ix1","Ix2")))</f>
        <v>Ix2</v>
      </c>
      <c r="V273" s="4">
        <f>[2]Arkusz1!AM276</f>
        <v>0</v>
      </c>
      <c r="W273" s="4">
        <f>[2]Arkusz1!AB277</f>
        <v>0</v>
      </c>
      <c r="X273" s="4" t="e">
        <f>_xlfn.TEXTBEFORE([2]Arkusz1!AC277," (")</f>
        <v>#N/A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I273" s="4" t="s">
        <v>546</v>
      </c>
      <c r="AJ273" s="4" t="e">
        <v>#N/A</v>
      </c>
      <c r="AK273" s="4" t="e">
        <v>#N/A</v>
      </c>
      <c r="AL273" s="4" t="e">
        <v>#N/A</v>
      </c>
      <c r="AM273" s="4">
        <v>0</v>
      </c>
      <c r="AN273" s="4">
        <v>0</v>
      </c>
      <c r="AP273" s="4">
        <f>[1]Hist!$X283</f>
        <v>0</v>
      </c>
    </row>
    <row r="274" spans="1:42" x14ac:dyDescent="0.2">
      <c r="A274" s="4">
        <v>273</v>
      </c>
      <c r="B274" s="215">
        <f>[2]Arkusz1!B277</f>
        <v>0</v>
      </c>
      <c r="C274" s="44" t="str">
        <f>_xlfn.CONCAT([2]Arkusz1!G277," ",[2]Arkusz1!H277)</f>
        <v xml:space="preserve"> </v>
      </c>
      <c r="D274" s="4" t="e">
        <f>_xlfn.XLOOKUP(H274,[4]Sheet1!$I$2:$I$40,[4]Sheet1!$Y$2:$Y$40,,2,1)</f>
        <v>#N/A</v>
      </c>
      <c r="E274" s="4" t="e">
        <f>_xlfn.XLOOKUP(H274,[4]Sheet1!$I$2:$I$40,[4]Sheet1!$K$2:$K$40,,2,1)</f>
        <v>#N/A</v>
      </c>
      <c r="F274" s="218" t="e">
        <f>_xlfn.XLOOKUP(H274,[4]Sheet1!$I$2:$I$40,[4]Sheet1!$J$2:$J$40,,2,1)</f>
        <v>#N/A</v>
      </c>
      <c r="G274" s="4">
        <f>[2]Arkusz1!E277</f>
        <v>0</v>
      </c>
      <c r="H274" s="4">
        <f>[2]Arkusz1!J277</f>
        <v>0</v>
      </c>
      <c r="I274" s="213" t="str">
        <f>_xlfn.CONCAT([2]Arkusz1!C277," ",[2]Arkusz1!D277)</f>
        <v xml:space="preserve"> </v>
      </c>
      <c r="J274" s="216">
        <f ca="1">IF(DATEDIF([2]Arkusz1!S277,TODAY(),"Y")&gt;21,0,DATEDIF([2]Arkusz1!S277,TODAY(),"Y"))</f>
        <v>0</v>
      </c>
      <c r="K274" s="4">
        <f>[2]Arkusz1!T277</f>
        <v>0</v>
      </c>
      <c r="L274" s="216">
        <f>[2]Arkusz1!U277</f>
        <v>0</v>
      </c>
      <c r="M274" s="4">
        <f>[2]Arkusz1!P277</f>
        <v>0</v>
      </c>
      <c r="N274" s="4">
        <f>[2]Arkusz1!Q277</f>
        <v>0</v>
      </c>
      <c r="O274" s="4">
        <f>[2]Arkusz1!V277</f>
        <v>0</v>
      </c>
      <c r="P274" s="4">
        <f t="shared" si="6"/>
        <v>176</v>
      </c>
      <c r="Q274" s="4">
        <f>[2]Arkusz1!Y277</f>
        <v>0</v>
      </c>
      <c r="R274" s="4">
        <v>0</v>
      </c>
      <c r="S274" s="4" t="s">
        <v>64</v>
      </c>
      <c r="T274" s="4">
        <f>[2]Arkusz1!AA277</f>
        <v>0</v>
      </c>
      <c r="U274" s="4" t="str">
        <f>IF([2]Arkusz1!O277=[2]Arkusz1!$O$7,"Z",IF([2]Arkusz1!O277=[2]Arkusz1!$O$15,"Ix3",IF([2]Arkusz1!O277=[2]Arkusz1!$O$20,"Ix1","Ix2")))</f>
        <v>Ix2</v>
      </c>
      <c r="V274" s="4">
        <f>[2]Arkusz1!AM277</f>
        <v>0</v>
      </c>
      <c r="W274" s="4">
        <f>[2]Arkusz1!AB278</f>
        <v>0</v>
      </c>
      <c r="X274" s="4" t="e">
        <f>_xlfn.TEXTBEFORE([2]Arkusz1!AC278," (")</f>
        <v>#N/A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I274" s="4" t="s">
        <v>546</v>
      </c>
      <c r="AJ274" s="4" t="e">
        <v>#N/A</v>
      </c>
      <c r="AK274" s="4" t="e">
        <v>#N/A</v>
      </c>
      <c r="AL274" s="4" t="e">
        <v>#N/A</v>
      </c>
      <c r="AM274" s="4">
        <v>0</v>
      </c>
      <c r="AN274" s="4">
        <v>0</v>
      </c>
      <c r="AP274" s="4">
        <f>[1]Hist!$X284</f>
        <v>0</v>
      </c>
    </row>
    <row r="275" spans="1:42" x14ac:dyDescent="0.2">
      <c r="A275" s="4">
        <v>274</v>
      </c>
      <c r="B275" s="215">
        <f>[2]Arkusz1!B278</f>
        <v>0</v>
      </c>
      <c r="C275" s="44" t="str">
        <f>_xlfn.CONCAT([2]Arkusz1!G278," ",[2]Arkusz1!H278)</f>
        <v xml:space="preserve"> </v>
      </c>
      <c r="D275" s="4" t="e">
        <f>_xlfn.XLOOKUP(H275,[4]Sheet1!$I$2:$I$40,[4]Sheet1!$Y$2:$Y$40,,2,1)</f>
        <v>#N/A</v>
      </c>
      <c r="E275" s="4" t="e">
        <f>_xlfn.XLOOKUP(H275,[4]Sheet1!$I$2:$I$40,[4]Sheet1!$K$2:$K$40,,2,1)</f>
        <v>#N/A</v>
      </c>
      <c r="F275" s="218" t="e">
        <f>_xlfn.XLOOKUP(H275,[4]Sheet1!$I$2:$I$40,[4]Sheet1!$J$2:$J$40,,2,1)</f>
        <v>#N/A</v>
      </c>
      <c r="G275" s="4">
        <f>[2]Arkusz1!E278</f>
        <v>0</v>
      </c>
      <c r="H275" s="4">
        <f>[2]Arkusz1!J278</f>
        <v>0</v>
      </c>
      <c r="I275" s="213" t="str">
        <f>_xlfn.CONCAT([2]Arkusz1!C278," ",[2]Arkusz1!D278)</f>
        <v xml:space="preserve"> </v>
      </c>
      <c r="J275" s="216">
        <f ca="1">IF(DATEDIF([2]Arkusz1!S278,TODAY(),"Y")&gt;21,0,DATEDIF([2]Arkusz1!S278,TODAY(),"Y"))</f>
        <v>0</v>
      </c>
      <c r="K275" s="4">
        <f>[2]Arkusz1!T278</f>
        <v>0</v>
      </c>
      <c r="L275" s="216">
        <f>[2]Arkusz1!U278</f>
        <v>0</v>
      </c>
      <c r="M275" s="4">
        <f>[2]Arkusz1!P278</f>
        <v>0</v>
      </c>
      <c r="N275" s="4">
        <f>[2]Arkusz1!Q278</f>
        <v>0</v>
      </c>
      <c r="O275" s="4">
        <f>[2]Arkusz1!V278</f>
        <v>0</v>
      </c>
      <c r="P275" s="4">
        <f t="shared" si="6"/>
        <v>176</v>
      </c>
      <c r="Q275" s="4">
        <f>[2]Arkusz1!Y278</f>
        <v>0</v>
      </c>
      <c r="R275" s="4">
        <v>0</v>
      </c>
      <c r="S275" s="4" t="s">
        <v>64</v>
      </c>
      <c r="T275" s="4">
        <f>[2]Arkusz1!AA278</f>
        <v>0</v>
      </c>
      <c r="U275" s="4" t="str">
        <f>IF([2]Arkusz1!O278=[2]Arkusz1!$O$7,"Z",IF([2]Arkusz1!O278=[2]Arkusz1!$O$15,"Ix3",IF([2]Arkusz1!O278=[2]Arkusz1!$O$20,"Ix1","Ix2")))</f>
        <v>Ix2</v>
      </c>
      <c r="V275" s="4">
        <f>[2]Arkusz1!AM278</f>
        <v>0</v>
      </c>
      <c r="W275" s="4">
        <f>[2]Arkusz1!AB279</f>
        <v>0</v>
      </c>
      <c r="X275" s="4" t="e">
        <f>_xlfn.TEXTBEFORE([2]Arkusz1!AC279," (")</f>
        <v>#N/A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I275" s="4" t="s">
        <v>546</v>
      </c>
      <c r="AJ275" s="4" t="e">
        <v>#N/A</v>
      </c>
      <c r="AK275" s="4" t="e">
        <v>#N/A</v>
      </c>
      <c r="AL275" s="4" t="e">
        <v>#N/A</v>
      </c>
      <c r="AM275" s="4">
        <v>0</v>
      </c>
      <c r="AN275" s="4">
        <v>0</v>
      </c>
      <c r="AP275" s="4">
        <f>[1]Hist!$X285</f>
        <v>0</v>
      </c>
    </row>
    <row r="276" spans="1:42" x14ac:dyDescent="0.2">
      <c r="A276" s="4">
        <v>275</v>
      </c>
      <c r="B276" s="215">
        <f>[2]Arkusz1!B279</f>
        <v>0</v>
      </c>
      <c r="C276" s="44" t="str">
        <f>_xlfn.CONCAT([2]Arkusz1!G279," ",[2]Arkusz1!H279)</f>
        <v xml:space="preserve"> </v>
      </c>
      <c r="D276" s="4" t="e">
        <f>_xlfn.XLOOKUP(H276,[4]Sheet1!$I$2:$I$40,[4]Sheet1!$Y$2:$Y$40,,2,1)</f>
        <v>#N/A</v>
      </c>
      <c r="E276" s="4" t="e">
        <f>_xlfn.XLOOKUP(H276,[4]Sheet1!$I$2:$I$40,[4]Sheet1!$K$2:$K$40,,2,1)</f>
        <v>#N/A</v>
      </c>
      <c r="F276" s="218" t="e">
        <f>_xlfn.XLOOKUP(H276,[4]Sheet1!$I$2:$I$40,[4]Sheet1!$J$2:$J$40,,2,1)</f>
        <v>#N/A</v>
      </c>
      <c r="G276" s="4">
        <f>[2]Arkusz1!E279</f>
        <v>0</v>
      </c>
      <c r="H276" s="4">
        <f>[2]Arkusz1!J279</f>
        <v>0</v>
      </c>
      <c r="I276" s="213" t="str">
        <f>_xlfn.CONCAT([2]Arkusz1!C279," ",[2]Arkusz1!D279)</f>
        <v xml:space="preserve"> </v>
      </c>
      <c r="J276" s="216">
        <f ca="1">IF(DATEDIF([2]Arkusz1!S279,TODAY(),"Y")&gt;21,0,DATEDIF([2]Arkusz1!S279,TODAY(),"Y"))</f>
        <v>0</v>
      </c>
      <c r="K276" s="4">
        <f>[2]Arkusz1!T279</f>
        <v>0</v>
      </c>
      <c r="L276" s="216">
        <f>[2]Arkusz1!U279</f>
        <v>0</v>
      </c>
      <c r="M276" s="4">
        <f>[2]Arkusz1!P279</f>
        <v>0</v>
      </c>
      <c r="N276" s="4">
        <f>[2]Arkusz1!Q279</f>
        <v>0</v>
      </c>
      <c r="O276" s="4">
        <f>[2]Arkusz1!V279</f>
        <v>0</v>
      </c>
      <c r="P276" s="4">
        <f t="shared" si="6"/>
        <v>176</v>
      </c>
      <c r="Q276" s="4">
        <f>[2]Arkusz1!Y279</f>
        <v>0</v>
      </c>
      <c r="R276" s="4">
        <v>0</v>
      </c>
      <c r="S276" s="4" t="s">
        <v>64</v>
      </c>
      <c r="T276" s="4">
        <f>[2]Arkusz1!AA279</f>
        <v>0</v>
      </c>
      <c r="U276" s="4" t="str">
        <f>IF([2]Arkusz1!O279=[2]Arkusz1!$O$7,"Z",IF([2]Arkusz1!O279=[2]Arkusz1!$O$15,"Ix3",IF([2]Arkusz1!O279=[2]Arkusz1!$O$20,"Ix1","Ix2")))</f>
        <v>Ix2</v>
      </c>
      <c r="V276" s="4">
        <f>[2]Arkusz1!AM279</f>
        <v>0</v>
      </c>
      <c r="W276" s="4">
        <f>[2]Arkusz1!AB280</f>
        <v>0</v>
      </c>
      <c r="X276" s="4" t="e">
        <f>_xlfn.TEXTBEFORE([2]Arkusz1!AC280," (")</f>
        <v>#N/A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I276" s="4" t="s">
        <v>546</v>
      </c>
      <c r="AJ276" s="4" t="e">
        <v>#N/A</v>
      </c>
      <c r="AK276" s="4" t="e">
        <v>#N/A</v>
      </c>
      <c r="AL276" s="4" t="e">
        <v>#N/A</v>
      </c>
      <c r="AM276" s="4">
        <v>0</v>
      </c>
      <c r="AN276" s="4">
        <v>0</v>
      </c>
      <c r="AP276" s="4">
        <f>[1]Hist!$X286</f>
        <v>0</v>
      </c>
    </row>
    <row r="277" spans="1:42" x14ac:dyDescent="0.2">
      <c r="A277" s="4">
        <v>276</v>
      </c>
      <c r="B277" s="215">
        <f>[2]Arkusz1!B280</f>
        <v>0</v>
      </c>
      <c r="C277" s="44" t="str">
        <f>_xlfn.CONCAT([2]Arkusz1!G280," ",[2]Arkusz1!H280)</f>
        <v xml:space="preserve"> </v>
      </c>
      <c r="D277" s="4" t="e">
        <f>_xlfn.XLOOKUP(H277,[4]Sheet1!$I$2:$I$40,[4]Sheet1!$Y$2:$Y$40,,2,1)</f>
        <v>#N/A</v>
      </c>
      <c r="E277" s="4" t="e">
        <f>_xlfn.XLOOKUP(H277,[4]Sheet1!$I$2:$I$40,[4]Sheet1!$K$2:$K$40,,2,1)</f>
        <v>#N/A</v>
      </c>
      <c r="F277" s="218" t="e">
        <f>_xlfn.XLOOKUP(H277,[4]Sheet1!$I$2:$I$40,[4]Sheet1!$J$2:$J$40,,2,1)</f>
        <v>#N/A</v>
      </c>
      <c r="G277" s="4">
        <f>[2]Arkusz1!E280</f>
        <v>0</v>
      </c>
      <c r="H277" s="4">
        <f>[2]Arkusz1!J280</f>
        <v>0</v>
      </c>
      <c r="I277" s="213" t="str">
        <f>_xlfn.CONCAT([2]Arkusz1!C280," ",[2]Arkusz1!D280)</f>
        <v xml:space="preserve"> </v>
      </c>
      <c r="J277" s="216">
        <f ca="1">IF(DATEDIF([2]Arkusz1!S280,TODAY(),"Y")&gt;21,0,DATEDIF([2]Arkusz1!S280,TODAY(),"Y"))</f>
        <v>0</v>
      </c>
      <c r="K277" s="4">
        <f>[2]Arkusz1!T280</f>
        <v>0</v>
      </c>
      <c r="L277" s="216">
        <f>[2]Arkusz1!U280</f>
        <v>0</v>
      </c>
      <c r="M277" s="4">
        <f>[2]Arkusz1!P280</f>
        <v>0</v>
      </c>
      <c r="N277" s="4">
        <f>[2]Arkusz1!Q280</f>
        <v>0</v>
      </c>
      <c r="O277" s="4">
        <f>[2]Arkusz1!V280</f>
        <v>0</v>
      </c>
      <c r="P277" s="4">
        <f t="shared" si="6"/>
        <v>176</v>
      </c>
      <c r="Q277" s="4">
        <f>[2]Arkusz1!Y280</f>
        <v>0</v>
      </c>
      <c r="R277" s="4">
        <v>0</v>
      </c>
      <c r="S277" s="4" t="s">
        <v>64</v>
      </c>
      <c r="T277" s="4">
        <f>[2]Arkusz1!AA280</f>
        <v>0</v>
      </c>
      <c r="U277" s="4" t="str">
        <f>IF([2]Arkusz1!O280=[2]Arkusz1!$O$7,"Z",IF([2]Arkusz1!O280=[2]Arkusz1!$O$15,"Ix3",IF([2]Arkusz1!O280=[2]Arkusz1!$O$20,"Ix1","Ix2")))</f>
        <v>Ix2</v>
      </c>
      <c r="V277" s="4">
        <f>[2]Arkusz1!AM280</f>
        <v>0</v>
      </c>
      <c r="W277" s="4">
        <f>[2]Arkusz1!AB281</f>
        <v>0</v>
      </c>
      <c r="X277" s="4" t="e">
        <f>_xlfn.TEXTBEFORE([2]Arkusz1!AC281," (")</f>
        <v>#N/A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I277" s="4" t="s">
        <v>546</v>
      </c>
      <c r="AJ277" s="4" t="e">
        <v>#N/A</v>
      </c>
      <c r="AK277" s="4" t="e">
        <v>#N/A</v>
      </c>
      <c r="AL277" s="4" t="e">
        <v>#N/A</v>
      </c>
      <c r="AM277" s="4">
        <v>0</v>
      </c>
      <c r="AN277" s="4">
        <v>0</v>
      </c>
      <c r="AP277" s="4">
        <f>[1]Hist!$X287</f>
        <v>0</v>
      </c>
    </row>
    <row r="278" spans="1:42" x14ac:dyDescent="0.2">
      <c r="A278" s="4">
        <v>277</v>
      </c>
      <c r="B278" s="215">
        <f>[2]Arkusz1!B281</f>
        <v>0</v>
      </c>
      <c r="C278" s="44" t="str">
        <f>_xlfn.CONCAT([2]Arkusz1!G281," ",[2]Arkusz1!H281)</f>
        <v xml:space="preserve"> </v>
      </c>
      <c r="D278" s="4" t="e">
        <f>_xlfn.XLOOKUP(H278,[4]Sheet1!$I$2:$I$40,[4]Sheet1!$Y$2:$Y$40,,2,1)</f>
        <v>#N/A</v>
      </c>
      <c r="E278" s="4" t="e">
        <f>_xlfn.XLOOKUP(H278,[4]Sheet1!$I$2:$I$40,[4]Sheet1!$K$2:$K$40,,2,1)</f>
        <v>#N/A</v>
      </c>
      <c r="F278" s="218" t="e">
        <f>_xlfn.XLOOKUP(H278,[4]Sheet1!$I$2:$I$40,[4]Sheet1!$J$2:$J$40,,2,1)</f>
        <v>#N/A</v>
      </c>
      <c r="G278" s="4">
        <f>[2]Arkusz1!E281</f>
        <v>0</v>
      </c>
      <c r="H278" s="4">
        <f>[2]Arkusz1!J281</f>
        <v>0</v>
      </c>
      <c r="I278" s="213" t="str">
        <f>_xlfn.CONCAT([2]Arkusz1!C281," ",[2]Arkusz1!D281)</f>
        <v xml:space="preserve"> </v>
      </c>
      <c r="J278" s="216">
        <f ca="1">IF(DATEDIF([2]Arkusz1!S281,TODAY(),"Y")&gt;21,0,DATEDIF([2]Arkusz1!S281,TODAY(),"Y"))</f>
        <v>0</v>
      </c>
      <c r="K278" s="4">
        <f>[2]Arkusz1!T281</f>
        <v>0</v>
      </c>
      <c r="L278" s="216">
        <f>[2]Arkusz1!U281</f>
        <v>0</v>
      </c>
      <c r="M278" s="4">
        <f>[2]Arkusz1!P281</f>
        <v>0</v>
      </c>
      <c r="N278" s="4">
        <f>[2]Arkusz1!Q281</f>
        <v>0</v>
      </c>
      <c r="O278" s="4">
        <f>[2]Arkusz1!V281</f>
        <v>0</v>
      </c>
      <c r="P278" s="4">
        <f t="shared" si="6"/>
        <v>176</v>
      </c>
      <c r="Q278" s="4">
        <f>[2]Arkusz1!Y281</f>
        <v>0</v>
      </c>
      <c r="R278" s="4">
        <v>0</v>
      </c>
      <c r="S278" s="4" t="s">
        <v>64</v>
      </c>
      <c r="T278" s="4">
        <f>[2]Arkusz1!AA281</f>
        <v>0</v>
      </c>
      <c r="U278" s="4" t="str">
        <f>IF([2]Arkusz1!O281=[2]Arkusz1!$O$7,"Z",IF([2]Arkusz1!O281=[2]Arkusz1!$O$15,"Ix3",IF([2]Arkusz1!O281=[2]Arkusz1!$O$20,"Ix1","Ix2")))</f>
        <v>Ix2</v>
      </c>
      <c r="V278" s="4">
        <f>[2]Arkusz1!AM281</f>
        <v>0</v>
      </c>
      <c r="W278" s="4">
        <f>[2]Arkusz1!AB282</f>
        <v>0</v>
      </c>
      <c r="X278" s="4" t="e">
        <f>_xlfn.TEXTBEFORE([2]Arkusz1!AC282," (")</f>
        <v>#N/A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I278" s="4" t="s">
        <v>546</v>
      </c>
      <c r="AJ278" s="4" t="e">
        <v>#N/A</v>
      </c>
      <c r="AK278" s="4" t="e">
        <v>#N/A</v>
      </c>
      <c r="AL278" s="4" t="e">
        <v>#N/A</v>
      </c>
      <c r="AM278" s="4">
        <v>0</v>
      </c>
      <c r="AN278" s="4">
        <v>0</v>
      </c>
      <c r="AP278" s="4">
        <f>[1]Hist!$X288</f>
        <v>0</v>
      </c>
    </row>
    <row r="279" spans="1:42" x14ac:dyDescent="0.2">
      <c r="A279" s="4">
        <v>278</v>
      </c>
      <c r="B279" s="215">
        <f>[2]Arkusz1!B282</f>
        <v>0</v>
      </c>
      <c r="C279" s="44" t="str">
        <f>_xlfn.CONCAT([2]Arkusz1!G282," ",[2]Arkusz1!H282)</f>
        <v xml:space="preserve"> </v>
      </c>
      <c r="D279" s="4" t="e">
        <f>_xlfn.XLOOKUP(H279,[4]Sheet1!$I$2:$I$40,[4]Sheet1!$Y$2:$Y$40,,2,1)</f>
        <v>#N/A</v>
      </c>
      <c r="E279" s="4" t="e">
        <f>_xlfn.XLOOKUP(H279,[4]Sheet1!$I$2:$I$40,[4]Sheet1!$K$2:$K$40,,2,1)</f>
        <v>#N/A</v>
      </c>
      <c r="F279" s="218" t="e">
        <f>_xlfn.XLOOKUP(H279,[4]Sheet1!$I$2:$I$40,[4]Sheet1!$J$2:$J$40,,2,1)</f>
        <v>#N/A</v>
      </c>
      <c r="G279" s="4">
        <f>[2]Arkusz1!E282</f>
        <v>0</v>
      </c>
      <c r="H279" s="4">
        <f>[2]Arkusz1!J282</f>
        <v>0</v>
      </c>
      <c r="I279" s="213" t="str">
        <f>_xlfn.CONCAT([2]Arkusz1!C282," ",[2]Arkusz1!D282)</f>
        <v xml:space="preserve"> </v>
      </c>
      <c r="J279" s="216">
        <f ca="1">IF(DATEDIF([2]Arkusz1!S282,TODAY(),"Y")&gt;21,0,DATEDIF([2]Arkusz1!S282,TODAY(),"Y"))</f>
        <v>0</v>
      </c>
      <c r="K279" s="4">
        <f>[2]Arkusz1!T282</f>
        <v>0</v>
      </c>
      <c r="L279" s="216">
        <f>[2]Arkusz1!U282</f>
        <v>0</v>
      </c>
      <c r="M279" s="4">
        <f>[2]Arkusz1!P282</f>
        <v>0</v>
      </c>
      <c r="N279" s="4">
        <f>[2]Arkusz1!Q282</f>
        <v>0</v>
      </c>
      <c r="O279" s="4">
        <f>[2]Arkusz1!V282</f>
        <v>0</v>
      </c>
      <c r="P279" s="4">
        <f t="shared" si="6"/>
        <v>176</v>
      </c>
      <c r="Q279" s="4">
        <f>[2]Arkusz1!Y282</f>
        <v>0</v>
      </c>
      <c r="R279" s="4">
        <v>0</v>
      </c>
      <c r="S279" s="4" t="s">
        <v>64</v>
      </c>
      <c r="T279" s="4">
        <f>[2]Arkusz1!AA282</f>
        <v>0</v>
      </c>
      <c r="U279" s="4" t="str">
        <f>IF([2]Arkusz1!O282=[2]Arkusz1!$O$7,"Z",IF([2]Arkusz1!O282=[2]Arkusz1!$O$15,"Ix3",IF([2]Arkusz1!O282=[2]Arkusz1!$O$20,"Ix1","Ix2")))</f>
        <v>Ix2</v>
      </c>
      <c r="V279" s="4">
        <f>[2]Arkusz1!AM282</f>
        <v>0</v>
      </c>
      <c r="W279" s="4">
        <f>[2]Arkusz1!AB283</f>
        <v>0</v>
      </c>
      <c r="X279" s="4" t="e">
        <f>_xlfn.TEXTBEFORE([2]Arkusz1!AC283," (")</f>
        <v>#N/A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I279" s="4" t="s">
        <v>546</v>
      </c>
      <c r="AJ279" s="4" t="e">
        <v>#N/A</v>
      </c>
      <c r="AK279" s="4" t="e">
        <v>#N/A</v>
      </c>
      <c r="AL279" s="4" t="e">
        <v>#N/A</v>
      </c>
      <c r="AM279" s="4">
        <v>0</v>
      </c>
      <c r="AN279" s="4">
        <v>0</v>
      </c>
      <c r="AP279" s="4">
        <f>[1]Hist!$X289</f>
        <v>0</v>
      </c>
    </row>
    <row r="280" spans="1:42" x14ac:dyDescent="0.2">
      <c r="A280" s="4">
        <v>279</v>
      </c>
      <c r="B280" s="215">
        <f>[2]Arkusz1!B283</f>
        <v>0</v>
      </c>
      <c r="C280" s="44" t="str">
        <f>_xlfn.CONCAT([2]Arkusz1!G283," ",[2]Arkusz1!H283)</f>
        <v xml:space="preserve"> </v>
      </c>
      <c r="D280" s="4" t="e">
        <f>_xlfn.XLOOKUP(H280,[4]Sheet1!$I$2:$I$40,[4]Sheet1!$Y$2:$Y$40,,2,1)</f>
        <v>#N/A</v>
      </c>
      <c r="E280" s="4" t="e">
        <f>_xlfn.XLOOKUP(H280,[4]Sheet1!$I$2:$I$40,[4]Sheet1!$K$2:$K$40,,2,1)</f>
        <v>#N/A</v>
      </c>
      <c r="F280" s="218" t="e">
        <f>_xlfn.XLOOKUP(H280,[4]Sheet1!$I$2:$I$40,[4]Sheet1!$J$2:$J$40,,2,1)</f>
        <v>#N/A</v>
      </c>
      <c r="G280" s="4">
        <f>[2]Arkusz1!E283</f>
        <v>0</v>
      </c>
      <c r="H280" s="4">
        <f>[2]Arkusz1!J283</f>
        <v>0</v>
      </c>
      <c r="I280" s="213" t="str">
        <f>_xlfn.CONCAT([2]Arkusz1!C283," ",[2]Arkusz1!D283)</f>
        <v xml:space="preserve"> </v>
      </c>
      <c r="J280" s="216">
        <f ca="1">IF(DATEDIF([2]Arkusz1!S283,TODAY(),"Y")&gt;21,0,DATEDIF([2]Arkusz1!S283,TODAY(),"Y"))</f>
        <v>0</v>
      </c>
      <c r="K280" s="4">
        <f>[2]Arkusz1!T283</f>
        <v>0</v>
      </c>
      <c r="L280" s="216">
        <f>[2]Arkusz1!U283</f>
        <v>0</v>
      </c>
      <c r="M280" s="4">
        <f>[2]Arkusz1!P283</f>
        <v>0</v>
      </c>
      <c r="N280" s="4">
        <f>[2]Arkusz1!Q283</f>
        <v>0</v>
      </c>
      <c r="O280" s="4">
        <f>[2]Arkusz1!V283</f>
        <v>0</v>
      </c>
      <c r="P280" s="4">
        <f t="shared" si="6"/>
        <v>176</v>
      </c>
      <c r="Q280" s="4">
        <f>[2]Arkusz1!Y283</f>
        <v>0</v>
      </c>
      <c r="R280" s="4">
        <v>0</v>
      </c>
      <c r="S280" s="4" t="s">
        <v>64</v>
      </c>
      <c r="T280" s="4">
        <f>[2]Arkusz1!AA283</f>
        <v>0</v>
      </c>
      <c r="U280" s="4" t="str">
        <f>IF([2]Arkusz1!O283=[2]Arkusz1!$O$7,"Z",IF([2]Arkusz1!O283=[2]Arkusz1!$O$15,"Ix3",IF([2]Arkusz1!O283=[2]Arkusz1!$O$20,"Ix1","Ix2")))</f>
        <v>Ix2</v>
      </c>
      <c r="V280" s="4">
        <f>[2]Arkusz1!AM283</f>
        <v>0</v>
      </c>
      <c r="W280" s="4">
        <f>[2]Arkusz1!AB284</f>
        <v>0</v>
      </c>
      <c r="X280" s="4" t="e">
        <f>_xlfn.TEXTBEFORE([2]Arkusz1!AC284," (")</f>
        <v>#N/A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I280" s="4" t="s">
        <v>546</v>
      </c>
      <c r="AJ280" s="4" t="e">
        <v>#N/A</v>
      </c>
      <c r="AK280" s="4" t="e">
        <v>#N/A</v>
      </c>
      <c r="AL280" s="4" t="e">
        <v>#N/A</v>
      </c>
      <c r="AM280" s="4">
        <v>0</v>
      </c>
      <c r="AN280" s="4">
        <v>0</v>
      </c>
      <c r="AP280" s="4">
        <f>[1]Hist!$X290</f>
        <v>0</v>
      </c>
    </row>
    <row r="281" spans="1:42" x14ac:dyDescent="0.2">
      <c r="A281" s="4">
        <v>280</v>
      </c>
      <c r="B281" s="215">
        <f>[2]Arkusz1!B284</f>
        <v>0</v>
      </c>
      <c r="C281" s="44" t="str">
        <f>_xlfn.CONCAT([2]Arkusz1!G284," ",[2]Arkusz1!H284)</f>
        <v xml:space="preserve"> </v>
      </c>
      <c r="D281" s="4" t="e">
        <f>_xlfn.XLOOKUP(H281,[4]Sheet1!$I$2:$I$40,[4]Sheet1!$Y$2:$Y$40,,2,1)</f>
        <v>#N/A</v>
      </c>
      <c r="E281" s="4" t="e">
        <f>_xlfn.XLOOKUP(H281,[4]Sheet1!$I$2:$I$40,[4]Sheet1!$K$2:$K$40,,2,1)</f>
        <v>#N/A</v>
      </c>
      <c r="F281" s="218" t="e">
        <f>_xlfn.XLOOKUP(H281,[4]Sheet1!$I$2:$I$40,[4]Sheet1!$J$2:$J$40,,2,1)</f>
        <v>#N/A</v>
      </c>
      <c r="G281" s="4">
        <f>[2]Arkusz1!E284</f>
        <v>0</v>
      </c>
      <c r="H281" s="4">
        <f>[2]Arkusz1!J284</f>
        <v>0</v>
      </c>
      <c r="I281" s="213" t="str">
        <f>_xlfn.CONCAT([2]Arkusz1!C284," ",[2]Arkusz1!D284)</f>
        <v xml:space="preserve"> </v>
      </c>
      <c r="J281" s="216">
        <f ca="1">IF(DATEDIF([2]Arkusz1!S284,TODAY(),"Y")&gt;21,0,DATEDIF([2]Arkusz1!S284,TODAY(),"Y"))</f>
        <v>0</v>
      </c>
      <c r="K281" s="4">
        <f>[2]Arkusz1!T284</f>
        <v>0</v>
      </c>
      <c r="L281" s="216">
        <f>[2]Arkusz1!U284</f>
        <v>0</v>
      </c>
      <c r="M281" s="4">
        <f>[2]Arkusz1!P284</f>
        <v>0</v>
      </c>
      <c r="N281" s="4">
        <f>[2]Arkusz1!Q284</f>
        <v>0</v>
      </c>
      <c r="O281" s="4">
        <f>[2]Arkusz1!V284</f>
        <v>0</v>
      </c>
      <c r="P281" s="4">
        <f t="shared" si="6"/>
        <v>176</v>
      </c>
      <c r="Q281" s="4">
        <f>[2]Arkusz1!Y284</f>
        <v>0</v>
      </c>
      <c r="R281" s="4">
        <v>0</v>
      </c>
      <c r="S281" s="4" t="s">
        <v>64</v>
      </c>
      <c r="T281" s="4">
        <f>[2]Arkusz1!AA284</f>
        <v>0</v>
      </c>
      <c r="U281" s="4" t="str">
        <f>IF([2]Arkusz1!O284=[2]Arkusz1!$O$7,"Z",IF([2]Arkusz1!O284=[2]Arkusz1!$O$15,"Ix3",IF([2]Arkusz1!O284=[2]Arkusz1!$O$20,"Ix1","Ix2")))</f>
        <v>Ix2</v>
      </c>
      <c r="V281" s="4">
        <f>[2]Arkusz1!AM284</f>
        <v>0</v>
      </c>
      <c r="W281" s="4">
        <f>[2]Arkusz1!AB285</f>
        <v>0</v>
      </c>
      <c r="X281" s="4" t="e">
        <f>_xlfn.TEXTBEFORE([2]Arkusz1!AC285," (")</f>
        <v>#N/A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I281" s="4" t="s">
        <v>546</v>
      </c>
      <c r="AJ281" s="4" t="e">
        <v>#N/A</v>
      </c>
      <c r="AK281" s="4" t="e">
        <v>#N/A</v>
      </c>
      <c r="AL281" s="4" t="e">
        <v>#N/A</v>
      </c>
      <c r="AM281" s="4">
        <v>0</v>
      </c>
      <c r="AN281" s="4">
        <v>0</v>
      </c>
      <c r="AP281" s="4">
        <f>[1]Hist!$X291</f>
        <v>0</v>
      </c>
    </row>
    <row r="282" spans="1:42" x14ac:dyDescent="0.2">
      <c r="A282" s="4">
        <v>281</v>
      </c>
      <c r="B282" s="215">
        <f>[2]Arkusz1!B285</f>
        <v>0</v>
      </c>
      <c r="C282" s="44" t="str">
        <f>_xlfn.CONCAT([2]Arkusz1!G285," ",[2]Arkusz1!H285)</f>
        <v xml:space="preserve"> </v>
      </c>
      <c r="D282" s="4" t="e">
        <f>_xlfn.XLOOKUP(H282,[4]Sheet1!$I$2:$I$40,[4]Sheet1!$Y$2:$Y$40,,2,1)</f>
        <v>#N/A</v>
      </c>
      <c r="E282" s="4" t="e">
        <f>_xlfn.XLOOKUP(H282,[4]Sheet1!$I$2:$I$40,[4]Sheet1!$K$2:$K$40,,2,1)</f>
        <v>#N/A</v>
      </c>
      <c r="F282" s="218" t="e">
        <f>_xlfn.XLOOKUP(H282,[4]Sheet1!$I$2:$I$40,[4]Sheet1!$J$2:$J$40,,2,1)</f>
        <v>#N/A</v>
      </c>
      <c r="G282" s="4">
        <f>[2]Arkusz1!E285</f>
        <v>0</v>
      </c>
      <c r="H282" s="4">
        <f>[2]Arkusz1!J285</f>
        <v>0</v>
      </c>
      <c r="I282" s="213" t="str">
        <f>_xlfn.CONCAT([2]Arkusz1!C285," ",[2]Arkusz1!D285)</f>
        <v xml:space="preserve"> </v>
      </c>
      <c r="J282" s="216">
        <f ca="1">IF(DATEDIF([2]Arkusz1!S285,TODAY(),"Y")&gt;21,0,DATEDIF([2]Arkusz1!S285,TODAY(),"Y"))</f>
        <v>0</v>
      </c>
      <c r="K282" s="4">
        <f>[2]Arkusz1!T285</f>
        <v>0</v>
      </c>
      <c r="L282" s="216">
        <f>[2]Arkusz1!U285</f>
        <v>0</v>
      </c>
      <c r="M282" s="4">
        <f>[2]Arkusz1!P285</f>
        <v>0</v>
      </c>
      <c r="N282" s="4">
        <f>[2]Arkusz1!Q285</f>
        <v>0</v>
      </c>
      <c r="O282" s="4">
        <f>[2]Arkusz1!V285</f>
        <v>0</v>
      </c>
      <c r="P282" s="4">
        <f t="shared" si="6"/>
        <v>176</v>
      </c>
      <c r="Q282" s="4">
        <f>[2]Arkusz1!Y285</f>
        <v>0</v>
      </c>
      <c r="R282" s="4">
        <v>0</v>
      </c>
      <c r="S282" s="4" t="s">
        <v>64</v>
      </c>
      <c r="T282" s="4">
        <f>[2]Arkusz1!AA285</f>
        <v>0</v>
      </c>
      <c r="U282" s="4" t="str">
        <f>IF([2]Arkusz1!O285=[2]Arkusz1!$O$7,"Z",IF([2]Arkusz1!O285=[2]Arkusz1!$O$15,"Ix3",IF([2]Arkusz1!O285=[2]Arkusz1!$O$20,"Ix1","Ix2")))</f>
        <v>Ix2</v>
      </c>
      <c r="V282" s="4">
        <f>[2]Arkusz1!AM285</f>
        <v>0</v>
      </c>
      <c r="W282" s="4">
        <f>[2]Arkusz1!AB286</f>
        <v>0</v>
      </c>
      <c r="X282" s="4" t="e">
        <f>_xlfn.TEXTBEFORE([2]Arkusz1!AC286," (")</f>
        <v>#N/A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I282" s="4" t="s">
        <v>546</v>
      </c>
      <c r="AJ282" s="4" t="e">
        <v>#N/A</v>
      </c>
      <c r="AK282" s="4" t="e">
        <v>#N/A</v>
      </c>
      <c r="AL282" s="4" t="e">
        <v>#N/A</v>
      </c>
      <c r="AM282" s="4">
        <v>0</v>
      </c>
      <c r="AN282" s="4">
        <v>0</v>
      </c>
      <c r="AP282" s="4">
        <f>[1]Hist!$X292</f>
        <v>0</v>
      </c>
    </row>
    <row r="283" spans="1:42" x14ac:dyDescent="0.2">
      <c r="A283" s="4">
        <v>282</v>
      </c>
      <c r="B283" s="215">
        <f>[2]Arkusz1!B286</f>
        <v>0</v>
      </c>
      <c r="C283" s="44" t="str">
        <f>_xlfn.CONCAT([2]Arkusz1!G286," ",[2]Arkusz1!H286)</f>
        <v xml:space="preserve"> </v>
      </c>
      <c r="D283" s="4" t="e">
        <f>_xlfn.XLOOKUP(H283,[4]Sheet1!$I$2:$I$40,[4]Sheet1!$Y$2:$Y$40,,2,1)</f>
        <v>#N/A</v>
      </c>
      <c r="E283" s="4" t="e">
        <f>_xlfn.XLOOKUP(H283,[4]Sheet1!$I$2:$I$40,[4]Sheet1!$K$2:$K$40,,2,1)</f>
        <v>#N/A</v>
      </c>
      <c r="F283" s="218" t="e">
        <f>_xlfn.XLOOKUP(H283,[4]Sheet1!$I$2:$I$40,[4]Sheet1!$J$2:$J$40,,2,1)</f>
        <v>#N/A</v>
      </c>
      <c r="G283" s="4">
        <f>[2]Arkusz1!E286</f>
        <v>0</v>
      </c>
      <c r="H283" s="4">
        <f>[2]Arkusz1!J286</f>
        <v>0</v>
      </c>
      <c r="I283" s="213" t="str">
        <f>_xlfn.CONCAT([2]Arkusz1!C286," ",[2]Arkusz1!D286)</f>
        <v xml:space="preserve"> </v>
      </c>
      <c r="J283" s="216">
        <f ca="1">IF(DATEDIF([2]Arkusz1!S286,TODAY(),"Y")&gt;21,0,DATEDIF([2]Arkusz1!S286,TODAY(),"Y"))</f>
        <v>0</v>
      </c>
      <c r="K283" s="4">
        <f>[2]Arkusz1!T286</f>
        <v>0</v>
      </c>
      <c r="L283" s="216">
        <f>[2]Arkusz1!U286</f>
        <v>0</v>
      </c>
      <c r="M283" s="4">
        <f>[2]Arkusz1!P286</f>
        <v>0</v>
      </c>
      <c r="N283" s="4">
        <f>[2]Arkusz1!Q286</f>
        <v>0</v>
      </c>
      <c r="O283" s="4">
        <f>[2]Arkusz1!V286</f>
        <v>0</v>
      </c>
      <c r="P283" s="4">
        <f t="shared" si="6"/>
        <v>176</v>
      </c>
      <c r="Q283" s="4">
        <f>[2]Arkusz1!Y286</f>
        <v>0</v>
      </c>
      <c r="R283" s="4">
        <v>0</v>
      </c>
      <c r="S283" s="4" t="s">
        <v>64</v>
      </c>
      <c r="T283" s="4">
        <f>[2]Arkusz1!AA286</f>
        <v>0</v>
      </c>
      <c r="U283" s="4" t="str">
        <f>IF([2]Arkusz1!O286=[2]Arkusz1!$O$7,"Z",IF([2]Arkusz1!O286=[2]Arkusz1!$O$15,"Ix3",IF([2]Arkusz1!O286=[2]Arkusz1!$O$20,"Ix1","Ix2")))</f>
        <v>Ix2</v>
      </c>
      <c r="V283" s="4">
        <f>[2]Arkusz1!AM286</f>
        <v>0</v>
      </c>
      <c r="W283" s="4">
        <f>[2]Arkusz1!AB287</f>
        <v>0</v>
      </c>
      <c r="X283" s="4" t="e">
        <f>_xlfn.TEXTBEFORE([2]Arkusz1!AC287," (")</f>
        <v>#N/A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I283" s="4" t="s">
        <v>546</v>
      </c>
      <c r="AJ283" s="4" t="e">
        <v>#N/A</v>
      </c>
      <c r="AK283" s="4" t="e">
        <v>#N/A</v>
      </c>
      <c r="AL283" s="4" t="e">
        <v>#N/A</v>
      </c>
      <c r="AM283" s="4">
        <v>0</v>
      </c>
      <c r="AN283" s="4">
        <v>0</v>
      </c>
      <c r="AP283" s="4">
        <f>[1]Hist!$X293</f>
        <v>0</v>
      </c>
    </row>
    <row r="284" spans="1:42" x14ac:dyDescent="0.2">
      <c r="A284" s="4">
        <v>283</v>
      </c>
      <c r="B284" s="215">
        <f>[2]Arkusz1!B287</f>
        <v>0</v>
      </c>
      <c r="C284" s="44" t="str">
        <f>_xlfn.CONCAT([2]Arkusz1!G287," ",[2]Arkusz1!H287)</f>
        <v xml:space="preserve"> </v>
      </c>
      <c r="D284" s="4" t="e">
        <f>_xlfn.XLOOKUP(H284,[4]Sheet1!$I$2:$I$40,[4]Sheet1!$Y$2:$Y$40,,2,1)</f>
        <v>#N/A</v>
      </c>
      <c r="E284" s="4" t="e">
        <f>_xlfn.XLOOKUP(H284,[4]Sheet1!$I$2:$I$40,[4]Sheet1!$K$2:$K$40,,2,1)</f>
        <v>#N/A</v>
      </c>
      <c r="F284" s="218" t="e">
        <f>_xlfn.XLOOKUP(H284,[4]Sheet1!$I$2:$I$40,[4]Sheet1!$J$2:$J$40,,2,1)</f>
        <v>#N/A</v>
      </c>
      <c r="G284" s="4">
        <f>[2]Arkusz1!E287</f>
        <v>0</v>
      </c>
      <c r="H284" s="4">
        <f>[2]Arkusz1!J287</f>
        <v>0</v>
      </c>
      <c r="I284" s="213" t="str">
        <f>_xlfn.CONCAT([2]Arkusz1!C287," ",[2]Arkusz1!D287)</f>
        <v xml:space="preserve"> </v>
      </c>
      <c r="J284" s="216">
        <f ca="1">IF(DATEDIF([2]Arkusz1!S287,TODAY(),"Y")&gt;21,0,DATEDIF([2]Arkusz1!S287,TODAY(),"Y"))</f>
        <v>0</v>
      </c>
      <c r="K284" s="4">
        <f>[2]Arkusz1!T287</f>
        <v>0</v>
      </c>
      <c r="L284" s="216">
        <f>[2]Arkusz1!U287</f>
        <v>0</v>
      </c>
      <c r="M284" s="4">
        <f>[2]Arkusz1!P287</f>
        <v>0</v>
      </c>
      <c r="N284" s="4">
        <f>[2]Arkusz1!Q287</f>
        <v>0</v>
      </c>
      <c r="O284" s="4">
        <f>[2]Arkusz1!V287</f>
        <v>0</v>
      </c>
      <c r="P284" s="4">
        <f t="shared" si="6"/>
        <v>176</v>
      </c>
      <c r="Q284" s="4">
        <f>[2]Arkusz1!Y287</f>
        <v>0</v>
      </c>
      <c r="R284" s="4">
        <v>0</v>
      </c>
      <c r="S284" s="4" t="s">
        <v>64</v>
      </c>
      <c r="T284" s="4">
        <f>[2]Arkusz1!AA287</f>
        <v>0</v>
      </c>
      <c r="U284" s="4" t="str">
        <f>IF([2]Arkusz1!O287=[2]Arkusz1!$O$7,"Z",IF([2]Arkusz1!O287=[2]Arkusz1!$O$15,"Ix3",IF([2]Arkusz1!O287=[2]Arkusz1!$O$20,"Ix1","Ix2")))</f>
        <v>Ix2</v>
      </c>
      <c r="V284" s="4">
        <f>[2]Arkusz1!AM287</f>
        <v>0</v>
      </c>
      <c r="W284" s="4">
        <f>[2]Arkusz1!AB288</f>
        <v>0</v>
      </c>
      <c r="X284" s="4" t="e">
        <f>_xlfn.TEXTBEFORE([2]Arkusz1!AC288," (")</f>
        <v>#N/A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I284" s="4" t="s">
        <v>546</v>
      </c>
      <c r="AJ284" s="4" t="e">
        <v>#N/A</v>
      </c>
      <c r="AK284" s="4" t="e">
        <v>#N/A</v>
      </c>
      <c r="AL284" s="4" t="e">
        <v>#N/A</v>
      </c>
      <c r="AM284" s="4">
        <v>0</v>
      </c>
      <c r="AN284" s="4">
        <v>0</v>
      </c>
      <c r="AP284" s="4">
        <f>[1]Hist!$X294</f>
        <v>0</v>
      </c>
    </row>
    <row r="285" spans="1:42" x14ac:dyDescent="0.2">
      <c r="A285" s="4">
        <v>284</v>
      </c>
      <c r="B285" s="215">
        <f>[2]Arkusz1!B288</f>
        <v>0</v>
      </c>
      <c r="C285" s="44" t="str">
        <f>_xlfn.CONCAT([2]Arkusz1!G288," ",[2]Arkusz1!H288)</f>
        <v xml:space="preserve"> </v>
      </c>
      <c r="D285" s="4" t="e">
        <f>_xlfn.XLOOKUP(H285,[4]Sheet1!$I$2:$I$40,[4]Sheet1!$Y$2:$Y$40,,2,1)</f>
        <v>#N/A</v>
      </c>
      <c r="E285" s="4" t="e">
        <f>_xlfn.XLOOKUP(H285,[4]Sheet1!$I$2:$I$40,[4]Sheet1!$K$2:$K$40,,2,1)</f>
        <v>#N/A</v>
      </c>
      <c r="F285" s="218" t="e">
        <f>_xlfn.XLOOKUP(H285,[4]Sheet1!$I$2:$I$40,[4]Sheet1!$J$2:$J$40,,2,1)</f>
        <v>#N/A</v>
      </c>
      <c r="G285" s="4">
        <f>[2]Arkusz1!E288</f>
        <v>0</v>
      </c>
      <c r="H285" s="4">
        <f>[2]Arkusz1!J288</f>
        <v>0</v>
      </c>
      <c r="I285" s="213" t="str">
        <f>_xlfn.CONCAT([2]Arkusz1!C288," ",[2]Arkusz1!D288)</f>
        <v xml:space="preserve"> </v>
      </c>
      <c r="J285" s="216">
        <f ca="1">IF(DATEDIF([2]Arkusz1!S288,TODAY(),"Y")&gt;21,0,DATEDIF([2]Arkusz1!S288,TODAY(),"Y"))</f>
        <v>0</v>
      </c>
      <c r="K285" s="4">
        <f>[2]Arkusz1!T288</f>
        <v>0</v>
      </c>
      <c r="L285" s="216">
        <f>[2]Arkusz1!U288</f>
        <v>0</v>
      </c>
      <c r="M285" s="4">
        <f>[2]Arkusz1!P288</f>
        <v>0</v>
      </c>
      <c r="N285" s="4">
        <f>[2]Arkusz1!Q288</f>
        <v>0</v>
      </c>
      <c r="O285" s="4">
        <f>[2]Arkusz1!V288</f>
        <v>0</v>
      </c>
      <c r="P285" s="4">
        <f t="shared" si="6"/>
        <v>176</v>
      </c>
      <c r="Q285" s="4">
        <f>[2]Arkusz1!Y288</f>
        <v>0</v>
      </c>
      <c r="R285" s="4">
        <v>0</v>
      </c>
      <c r="S285" s="4" t="s">
        <v>64</v>
      </c>
      <c r="T285" s="4">
        <f>[2]Arkusz1!AA288</f>
        <v>0</v>
      </c>
      <c r="U285" s="4" t="str">
        <f>IF([2]Arkusz1!O288=[2]Arkusz1!$O$7,"Z",IF([2]Arkusz1!O288=[2]Arkusz1!$O$15,"Ix3",IF([2]Arkusz1!O288=[2]Arkusz1!$O$20,"Ix1","Ix2")))</f>
        <v>Ix2</v>
      </c>
      <c r="V285" s="4">
        <f>[2]Arkusz1!AM288</f>
        <v>0</v>
      </c>
      <c r="W285" s="4">
        <f>[2]Arkusz1!AB289</f>
        <v>0</v>
      </c>
      <c r="X285" s="4" t="e">
        <f>_xlfn.TEXTBEFORE([2]Arkusz1!AC289," (")</f>
        <v>#N/A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I285" s="4" t="s">
        <v>546</v>
      </c>
      <c r="AJ285" s="4" t="e">
        <v>#N/A</v>
      </c>
      <c r="AK285" s="4" t="e">
        <v>#N/A</v>
      </c>
      <c r="AL285" s="4" t="e">
        <v>#N/A</v>
      </c>
      <c r="AM285" s="4">
        <v>0</v>
      </c>
      <c r="AN285" s="4">
        <v>0</v>
      </c>
      <c r="AP285" s="4">
        <f>[1]Hist!$X295</f>
        <v>0</v>
      </c>
    </row>
    <row r="286" spans="1:42" x14ac:dyDescent="0.2">
      <c r="A286" s="4">
        <v>285</v>
      </c>
      <c r="B286" s="215">
        <f>[2]Arkusz1!B289</f>
        <v>0</v>
      </c>
      <c r="C286" s="44" t="str">
        <f>_xlfn.CONCAT([2]Arkusz1!G289," ",[2]Arkusz1!H289)</f>
        <v xml:space="preserve"> </v>
      </c>
      <c r="D286" s="4" t="e">
        <f>_xlfn.XLOOKUP(H286,[4]Sheet1!$I$2:$I$40,[4]Sheet1!$Y$2:$Y$40,,2,1)</f>
        <v>#N/A</v>
      </c>
      <c r="E286" s="4" t="e">
        <f>_xlfn.XLOOKUP(H286,[4]Sheet1!$I$2:$I$40,[4]Sheet1!$K$2:$K$40,,2,1)</f>
        <v>#N/A</v>
      </c>
      <c r="F286" s="218" t="e">
        <f>_xlfn.XLOOKUP(H286,[4]Sheet1!$I$2:$I$40,[4]Sheet1!$J$2:$J$40,,2,1)</f>
        <v>#N/A</v>
      </c>
      <c r="G286" s="4">
        <f>[2]Arkusz1!E289</f>
        <v>0</v>
      </c>
      <c r="H286" s="4">
        <f>[2]Arkusz1!J289</f>
        <v>0</v>
      </c>
      <c r="I286" s="213" t="str">
        <f>_xlfn.CONCAT([2]Arkusz1!C289," ",[2]Arkusz1!D289)</f>
        <v xml:space="preserve"> </v>
      </c>
      <c r="J286" s="216">
        <f ca="1">IF(DATEDIF([2]Arkusz1!S289,TODAY(),"Y")&gt;21,0,DATEDIF([2]Arkusz1!S289,TODAY(),"Y"))</f>
        <v>0</v>
      </c>
      <c r="K286" s="4">
        <f>[2]Arkusz1!T289</f>
        <v>0</v>
      </c>
      <c r="L286" s="216">
        <f>[2]Arkusz1!U289</f>
        <v>0</v>
      </c>
      <c r="M286" s="4">
        <f>[2]Arkusz1!P289</f>
        <v>0</v>
      </c>
      <c r="N286" s="4">
        <f>[2]Arkusz1!Q289</f>
        <v>0</v>
      </c>
      <c r="O286" s="4">
        <f>[2]Arkusz1!V289</f>
        <v>0</v>
      </c>
      <c r="P286" s="4">
        <f t="shared" si="6"/>
        <v>176</v>
      </c>
      <c r="Q286" s="4">
        <f>[2]Arkusz1!Y289</f>
        <v>0</v>
      </c>
      <c r="R286" s="4">
        <v>0</v>
      </c>
      <c r="S286" s="4" t="s">
        <v>64</v>
      </c>
      <c r="T286" s="4">
        <f>[2]Arkusz1!AA289</f>
        <v>0</v>
      </c>
      <c r="U286" s="4" t="str">
        <f>IF([2]Arkusz1!O289=[2]Arkusz1!$O$7,"Z",IF([2]Arkusz1!O289=[2]Arkusz1!$O$15,"Ix3",IF([2]Arkusz1!O289=[2]Arkusz1!$O$20,"Ix1","Ix2")))</f>
        <v>Ix2</v>
      </c>
      <c r="V286" s="4">
        <f>[2]Arkusz1!AM289</f>
        <v>0</v>
      </c>
      <c r="W286" s="4">
        <f>[2]Arkusz1!AB290</f>
        <v>0</v>
      </c>
      <c r="X286" s="4" t="e">
        <f>_xlfn.TEXTBEFORE([2]Arkusz1!AC290," (")</f>
        <v>#N/A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I286" s="4" t="s">
        <v>546</v>
      </c>
      <c r="AJ286" s="4" t="e">
        <v>#N/A</v>
      </c>
      <c r="AK286" s="4" t="e">
        <v>#N/A</v>
      </c>
      <c r="AL286" s="4" t="e">
        <v>#N/A</v>
      </c>
      <c r="AM286" s="4">
        <v>0</v>
      </c>
      <c r="AN286" s="4">
        <v>0</v>
      </c>
      <c r="AP286" s="4">
        <f>[1]Hist!$X296</f>
        <v>0</v>
      </c>
    </row>
    <row r="287" spans="1:42" x14ac:dyDescent="0.2">
      <c r="A287" s="4">
        <v>286</v>
      </c>
      <c r="B287" s="215">
        <f>[2]Arkusz1!B290</f>
        <v>0</v>
      </c>
      <c r="C287" s="44" t="str">
        <f>_xlfn.CONCAT([2]Arkusz1!G290," ",[2]Arkusz1!H290)</f>
        <v xml:space="preserve"> </v>
      </c>
      <c r="D287" s="4" t="e">
        <f>_xlfn.XLOOKUP(H287,[4]Sheet1!$I$2:$I$40,[4]Sheet1!$Y$2:$Y$40,,2,1)</f>
        <v>#N/A</v>
      </c>
      <c r="E287" s="4" t="e">
        <f>_xlfn.XLOOKUP(H287,[4]Sheet1!$I$2:$I$40,[4]Sheet1!$K$2:$K$40,,2,1)</f>
        <v>#N/A</v>
      </c>
      <c r="F287" s="218" t="e">
        <f>_xlfn.XLOOKUP(H287,[4]Sheet1!$I$2:$I$40,[4]Sheet1!$J$2:$J$40,,2,1)</f>
        <v>#N/A</v>
      </c>
      <c r="G287" s="4">
        <f>[2]Arkusz1!E290</f>
        <v>0</v>
      </c>
      <c r="H287" s="4">
        <f>[2]Arkusz1!J290</f>
        <v>0</v>
      </c>
      <c r="I287" s="213" t="str">
        <f>_xlfn.CONCAT([2]Arkusz1!C290," ",[2]Arkusz1!D290)</f>
        <v xml:space="preserve"> </v>
      </c>
      <c r="J287" s="216">
        <f ca="1">IF(DATEDIF([2]Arkusz1!S290,TODAY(),"Y")&gt;21,0,DATEDIF([2]Arkusz1!S290,TODAY(),"Y"))</f>
        <v>0</v>
      </c>
      <c r="K287" s="4">
        <f>[2]Arkusz1!T290</f>
        <v>0</v>
      </c>
      <c r="L287" s="216">
        <f>[2]Arkusz1!U290</f>
        <v>0</v>
      </c>
      <c r="M287" s="4">
        <f>[2]Arkusz1!P290</f>
        <v>0</v>
      </c>
      <c r="N287" s="4">
        <f>[2]Arkusz1!Q290</f>
        <v>0</v>
      </c>
      <c r="O287" s="4">
        <f>[2]Arkusz1!V290</f>
        <v>0</v>
      </c>
      <c r="P287" s="4">
        <f t="shared" si="6"/>
        <v>176</v>
      </c>
      <c r="Q287" s="4">
        <f>[2]Arkusz1!Y290</f>
        <v>0</v>
      </c>
      <c r="R287" s="4">
        <v>0</v>
      </c>
      <c r="S287" s="4" t="s">
        <v>64</v>
      </c>
      <c r="T287" s="4">
        <f>[2]Arkusz1!AA290</f>
        <v>0</v>
      </c>
      <c r="U287" s="4" t="str">
        <f>IF([2]Arkusz1!O290=[2]Arkusz1!$O$7,"Z",IF([2]Arkusz1!O290=[2]Arkusz1!$O$15,"Ix3",IF([2]Arkusz1!O290=[2]Arkusz1!$O$20,"Ix1","Ix2")))</f>
        <v>Ix2</v>
      </c>
      <c r="V287" s="4">
        <f>[2]Arkusz1!AM290</f>
        <v>0</v>
      </c>
      <c r="W287" s="4">
        <f>[2]Arkusz1!AB291</f>
        <v>0</v>
      </c>
      <c r="X287" s="4" t="e">
        <f>_xlfn.TEXTBEFORE([2]Arkusz1!AC291," (")</f>
        <v>#N/A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I287" s="4" t="s">
        <v>546</v>
      </c>
      <c r="AJ287" s="4" t="e">
        <v>#N/A</v>
      </c>
      <c r="AK287" s="4" t="e">
        <v>#N/A</v>
      </c>
      <c r="AL287" s="4" t="e">
        <v>#N/A</v>
      </c>
      <c r="AM287" s="4">
        <v>0</v>
      </c>
      <c r="AN287" s="4">
        <v>0</v>
      </c>
      <c r="AP287" s="4">
        <f>[1]Hist!$X297</f>
        <v>0</v>
      </c>
    </row>
    <row r="288" spans="1:42" x14ac:dyDescent="0.2">
      <c r="A288" s="4">
        <v>287</v>
      </c>
      <c r="B288" s="215">
        <f>[2]Arkusz1!B291</f>
        <v>0</v>
      </c>
      <c r="C288" s="44" t="str">
        <f>_xlfn.CONCAT([2]Arkusz1!G291," ",[2]Arkusz1!H291)</f>
        <v xml:space="preserve"> </v>
      </c>
      <c r="D288" s="4" t="e">
        <f>_xlfn.XLOOKUP(H288,[4]Sheet1!$I$2:$I$40,[4]Sheet1!$Y$2:$Y$40,,2,1)</f>
        <v>#N/A</v>
      </c>
      <c r="E288" s="4" t="e">
        <f>_xlfn.XLOOKUP(H288,[4]Sheet1!$I$2:$I$40,[4]Sheet1!$K$2:$K$40,,2,1)</f>
        <v>#N/A</v>
      </c>
      <c r="F288" s="218" t="e">
        <f>_xlfn.XLOOKUP(H288,[4]Sheet1!$I$2:$I$40,[4]Sheet1!$J$2:$J$40,,2,1)</f>
        <v>#N/A</v>
      </c>
      <c r="G288" s="4">
        <f>[2]Arkusz1!E291</f>
        <v>0</v>
      </c>
      <c r="H288" s="4">
        <f>[2]Arkusz1!J291</f>
        <v>0</v>
      </c>
      <c r="I288" s="213" t="str">
        <f>_xlfn.CONCAT([2]Arkusz1!C291," ",[2]Arkusz1!D291)</f>
        <v xml:space="preserve"> </v>
      </c>
      <c r="J288" s="216">
        <f ca="1">IF(DATEDIF([2]Arkusz1!S291,TODAY(),"Y")&gt;21,0,DATEDIF([2]Arkusz1!S291,TODAY(),"Y"))</f>
        <v>0</v>
      </c>
      <c r="K288" s="4">
        <f>[2]Arkusz1!T291</f>
        <v>0</v>
      </c>
      <c r="L288" s="216">
        <f>[2]Arkusz1!U291</f>
        <v>0</v>
      </c>
      <c r="M288" s="4">
        <f>[2]Arkusz1!P291</f>
        <v>0</v>
      </c>
      <c r="N288" s="4">
        <f>[2]Arkusz1!Q291</f>
        <v>0</v>
      </c>
      <c r="O288" s="4">
        <f>[2]Arkusz1!V291</f>
        <v>0</v>
      </c>
      <c r="P288" s="4">
        <f t="shared" si="6"/>
        <v>176</v>
      </c>
      <c r="Q288" s="4">
        <f>[2]Arkusz1!Y291</f>
        <v>0</v>
      </c>
      <c r="R288" s="4">
        <v>0</v>
      </c>
      <c r="S288" s="4" t="s">
        <v>64</v>
      </c>
      <c r="T288" s="4">
        <f>[2]Arkusz1!AA291</f>
        <v>0</v>
      </c>
      <c r="U288" s="4" t="str">
        <f>IF([2]Arkusz1!O291=[2]Arkusz1!$O$7,"Z",IF([2]Arkusz1!O291=[2]Arkusz1!$O$15,"Ix3",IF([2]Arkusz1!O291=[2]Arkusz1!$O$20,"Ix1","Ix2")))</f>
        <v>Ix2</v>
      </c>
      <c r="V288" s="4">
        <f>[2]Arkusz1!AM291</f>
        <v>0</v>
      </c>
      <c r="W288" s="4">
        <f>[2]Arkusz1!AB292</f>
        <v>0</v>
      </c>
      <c r="X288" s="4" t="e">
        <f>_xlfn.TEXTBEFORE([2]Arkusz1!AC292," (")</f>
        <v>#N/A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I288" s="4" t="s">
        <v>546</v>
      </c>
      <c r="AJ288" s="4" t="e">
        <v>#N/A</v>
      </c>
      <c r="AK288" s="4" t="e">
        <v>#N/A</v>
      </c>
      <c r="AL288" s="4" t="e">
        <v>#N/A</v>
      </c>
      <c r="AM288" s="4">
        <v>0</v>
      </c>
      <c r="AN288" s="4">
        <v>0</v>
      </c>
      <c r="AP288" s="4">
        <f>[1]Hist!$X298</f>
        <v>0</v>
      </c>
    </row>
    <row r="289" spans="1:42" x14ac:dyDescent="0.2">
      <c r="A289" s="4">
        <v>288</v>
      </c>
      <c r="B289" s="215">
        <f>[2]Arkusz1!B292</f>
        <v>0</v>
      </c>
      <c r="C289" s="44" t="str">
        <f>_xlfn.CONCAT([2]Arkusz1!G292," ",[2]Arkusz1!H292)</f>
        <v xml:space="preserve"> </v>
      </c>
      <c r="D289" s="4" t="e">
        <f>_xlfn.XLOOKUP(H289,[4]Sheet1!$I$2:$I$40,[4]Sheet1!$Y$2:$Y$40,,2,1)</f>
        <v>#N/A</v>
      </c>
      <c r="E289" s="4" t="e">
        <f>_xlfn.XLOOKUP(H289,[4]Sheet1!$I$2:$I$40,[4]Sheet1!$K$2:$K$40,,2,1)</f>
        <v>#N/A</v>
      </c>
      <c r="F289" s="218" t="e">
        <f>_xlfn.XLOOKUP(H289,[4]Sheet1!$I$2:$I$40,[4]Sheet1!$J$2:$J$40,,2,1)</f>
        <v>#N/A</v>
      </c>
      <c r="G289" s="4">
        <f>[2]Arkusz1!E292</f>
        <v>0</v>
      </c>
      <c r="H289" s="4">
        <f>[2]Arkusz1!J292</f>
        <v>0</v>
      </c>
      <c r="I289" s="213" t="str">
        <f>_xlfn.CONCAT([2]Arkusz1!C292," ",[2]Arkusz1!D292)</f>
        <v xml:space="preserve"> </v>
      </c>
      <c r="J289" s="216">
        <f ca="1">IF(DATEDIF([2]Arkusz1!S292,TODAY(),"Y")&gt;21,0,DATEDIF([2]Arkusz1!S292,TODAY(),"Y"))</f>
        <v>0</v>
      </c>
      <c r="K289" s="4">
        <f>[2]Arkusz1!T292</f>
        <v>0</v>
      </c>
      <c r="L289" s="216">
        <f>[2]Arkusz1!U292</f>
        <v>0</v>
      </c>
      <c r="M289" s="4">
        <f>[2]Arkusz1!P292</f>
        <v>0</v>
      </c>
      <c r="N289" s="4">
        <f>[2]Arkusz1!Q292</f>
        <v>0</v>
      </c>
      <c r="O289" s="4">
        <f>[2]Arkusz1!V292</f>
        <v>0</v>
      </c>
      <c r="P289" s="4">
        <f t="shared" si="6"/>
        <v>176</v>
      </c>
      <c r="Q289" s="4">
        <f>[2]Arkusz1!Y292</f>
        <v>0</v>
      </c>
      <c r="R289" s="4">
        <v>0</v>
      </c>
      <c r="S289" s="4" t="s">
        <v>64</v>
      </c>
      <c r="T289" s="4">
        <f>[2]Arkusz1!AA292</f>
        <v>0</v>
      </c>
      <c r="U289" s="4" t="str">
        <f>IF([2]Arkusz1!O292=[2]Arkusz1!$O$7,"Z",IF([2]Arkusz1!O292=[2]Arkusz1!$O$15,"Ix3",IF([2]Arkusz1!O292=[2]Arkusz1!$O$20,"Ix1","Ix2")))</f>
        <v>Ix2</v>
      </c>
      <c r="V289" s="4">
        <f>[2]Arkusz1!AM292</f>
        <v>0</v>
      </c>
      <c r="W289" s="4">
        <f>[2]Arkusz1!AB293</f>
        <v>0</v>
      </c>
      <c r="X289" s="4" t="e">
        <f>_xlfn.TEXTBEFORE([2]Arkusz1!AC293," (")</f>
        <v>#N/A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I289" s="4" t="s">
        <v>546</v>
      </c>
      <c r="AJ289" s="4" t="e">
        <v>#N/A</v>
      </c>
      <c r="AK289" s="4" t="e">
        <v>#N/A</v>
      </c>
      <c r="AL289" s="4" t="e">
        <v>#N/A</v>
      </c>
      <c r="AM289" s="4">
        <v>0</v>
      </c>
      <c r="AN289" s="4">
        <v>0</v>
      </c>
      <c r="AP289" s="4">
        <f>[1]Hist!$X299</f>
        <v>0</v>
      </c>
    </row>
    <row r="290" spans="1:42" x14ac:dyDescent="0.2">
      <c r="A290" s="4">
        <v>289</v>
      </c>
      <c r="B290" s="215">
        <f>[2]Arkusz1!B293</f>
        <v>0</v>
      </c>
      <c r="C290" s="44" t="str">
        <f>_xlfn.CONCAT([2]Arkusz1!G293," ",[2]Arkusz1!H293)</f>
        <v xml:space="preserve"> </v>
      </c>
      <c r="D290" s="4" t="e">
        <f>_xlfn.XLOOKUP(H290,[4]Sheet1!$I$2:$I$40,[4]Sheet1!$Y$2:$Y$40,,2,1)</f>
        <v>#N/A</v>
      </c>
      <c r="E290" s="4" t="e">
        <f>_xlfn.XLOOKUP(H290,[4]Sheet1!$I$2:$I$40,[4]Sheet1!$K$2:$K$40,,2,1)</f>
        <v>#N/A</v>
      </c>
      <c r="F290" s="218" t="e">
        <f>_xlfn.XLOOKUP(H290,[4]Sheet1!$I$2:$I$40,[4]Sheet1!$J$2:$J$40,,2,1)</f>
        <v>#N/A</v>
      </c>
      <c r="G290" s="4">
        <f>[2]Arkusz1!E293</f>
        <v>0</v>
      </c>
      <c r="H290" s="4">
        <f>[2]Arkusz1!J293</f>
        <v>0</v>
      </c>
      <c r="I290" s="213" t="str">
        <f>_xlfn.CONCAT([2]Arkusz1!C293," ",[2]Arkusz1!D293)</f>
        <v xml:space="preserve"> </v>
      </c>
      <c r="J290" s="216">
        <f ca="1">IF(DATEDIF([2]Arkusz1!S293,TODAY(),"Y")&gt;21,0,DATEDIF([2]Arkusz1!S293,TODAY(),"Y"))</f>
        <v>0</v>
      </c>
      <c r="K290" s="4">
        <f>[2]Arkusz1!T293</f>
        <v>0</v>
      </c>
      <c r="L290" s="216">
        <f>[2]Arkusz1!U293</f>
        <v>0</v>
      </c>
      <c r="M290" s="4">
        <f>[2]Arkusz1!P293</f>
        <v>0</v>
      </c>
      <c r="N290" s="4">
        <f>[2]Arkusz1!Q293</f>
        <v>0</v>
      </c>
      <c r="O290" s="4">
        <f>[2]Arkusz1!V293</f>
        <v>0</v>
      </c>
      <c r="P290" s="4">
        <f t="shared" si="6"/>
        <v>176</v>
      </c>
      <c r="Q290" s="4">
        <f>[2]Arkusz1!Y293</f>
        <v>0</v>
      </c>
      <c r="R290" s="4">
        <v>0</v>
      </c>
      <c r="S290" s="4" t="s">
        <v>64</v>
      </c>
      <c r="T290" s="4">
        <f>[2]Arkusz1!AA293</f>
        <v>0</v>
      </c>
      <c r="U290" s="4" t="str">
        <f>IF([2]Arkusz1!O293=[2]Arkusz1!$O$7,"Z",IF([2]Arkusz1!O293=[2]Arkusz1!$O$15,"Ix3",IF([2]Arkusz1!O293=[2]Arkusz1!$O$20,"Ix1","Ix2")))</f>
        <v>Ix2</v>
      </c>
      <c r="V290" s="4">
        <f>[2]Arkusz1!AM293</f>
        <v>0</v>
      </c>
      <c r="W290" s="4">
        <f>[2]Arkusz1!AB294</f>
        <v>0</v>
      </c>
      <c r="X290" s="4" t="e">
        <f>_xlfn.TEXTBEFORE([2]Arkusz1!AC294," (")</f>
        <v>#N/A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I290" s="4" t="s">
        <v>546</v>
      </c>
      <c r="AJ290" s="4" t="e">
        <v>#N/A</v>
      </c>
      <c r="AK290" s="4" t="e">
        <v>#N/A</v>
      </c>
      <c r="AL290" s="4" t="e">
        <v>#N/A</v>
      </c>
      <c r="AM290" s="4">
        <v>0</v>
      </c>
      <c r="AN290" s="4">
        <v>0</v>
      </c>
      <c r="AP290" s="4">
        <f>[1]Hist!$X300</f>
        <v>0</v>
      </c>
    </row>
    <row r="291" spans="1:42" x14ac:dyDescent="0.2">
      <c r="A291" s="4">
        <v>290</v>
      </c>
      <c r="B291" s="215">
        <f>[2]Arkusz1!B294</f>
        <v>0</v>
      </c>
      <c r="C291" s="44" t="str">
        <f>_xlfn.CONCAT([2]Arkusz1!G294," ",[2]Arkusz1!H294)</f>
        <v xml:space="preserve"> </v>
      </c>
      <c r="D291" s="4" t="e">
        <f>_xlfn.XLOOKUP(H291,[4]Sheet1!$I$2:$I$40,[4]Sheet1!$Y$2:$Y$40,,2,1)</f>
        <v>#N/A</v>
      </c>
      <c r="E291" s="4" t="e">
        <f>_xlfn.XLOOKUP(H291,[4]Sheet1!$I$2:$I$40,[4]Sheet1!$K$2:$K$40,,2,1)</f>
        <v>#N/A</v>
      </c>
      <c r="F291" s="218" t="e">
        <f>_xlfn.XLOOKUP(H291,[4]Sheet1!$I$2:$I$40,[4]Sheet1!$J$2:$J$40,,2,1)</f>
        <v>#N/A</v>
      </c>
      <c r="G291" s="4">
        <f>[2]Arkusz1!E294</f>
        <v>0</v>
      </c>
      <c r="H291" s="4">
        <f>[2]Arkusz1!J294</f>
        <v>0</v>
      </c>
      <c r="I291" s="213" t="str">
        <f>_xlfn.CONCAT([2]Arkusz1!C294," ",[2]Arkusz1!D294)</f>
        <v xml:space="preserve"> </v>
      </c>
      <c r="J291" s="216">
        <f ca="1">IF(DATEDIF([2]Arkusz1!S294,TODAY(),"Y")&gt;21,0,DATEDIF([2]Arkusz1!S294,TODAY(),"Y"))</f>
        <v>0</v>
      </c>
      <c r="K291" s="4">
        <f>[2]Arkusz1!T294</f>
        <v>0</v>
      </c>
      <c r="L291" s="216">
        <f>[2]Arkusz1!U294</f>
        <v>0</v>
      </c>
      <c r="M291" s="4">
        <f>[2]Arkusz1!P294</f>
        <v>0</v>
      </c>
      <c r="N291" s="4">
        <f>[2]Arkusz1!Q294</f>
        <v>0</v>
      </c>
      <c r="O291" s="4">
        <f>[2]Arkusz1!V294</f>
        <v>0</v>
      </c>
      <c r="P291" s="4">
        <f t="shared" si="6"/>
        <v>176</v>
      </c>
      <c r="Q291" s="4">
        <f>[2]Arkusz1!Y294</f>
        <v>0</v>
      </c>
      <c r="R291" s="4">
        <v>0</v>
      </c>
      <c r="S291" s="4" t="s">
        <v>64</v>
      </c>
      <c r="T291" s="4">
        <f>[2]Arkusz1!AA294</f>
        <v>0</v>
      </c>
      <c r="U291" s="4" t="str">
        <f>IF([2]Arkusz1!O294=[2]Arkusz1!$O$7,"Z",IF([2]Arkusz1!O294=[2]Arkusz1!$O$15,"Ix3",IF([2]Arkusz1!O294=[2]Arkusz1!$O$20,"Ix1","Ix2")))</f>
        <v>Ix2</v>
      </c>
      <c r="V291" s="4">
        <f>[2]Arkusz1!AM294</f>
        <v>0</v>
      </c>
      <c r="W291" s="4">
        <f>[2]Arkusz1!AB295</f>
        <v>0</v>
      </c>
      <c r="X291" s="4" t="e">
        <f>_xlfn.TEXTBEFORE([2]Arkusz1!AC295," (")</f>
        <v>#N/A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I291" s="4" t="s">
        <v>546</v>
      </c>
      <c r="AJ291" s="4" t="e">
        <v>#N/A</v>
      </c>
      <c r="AK291" s="4" t="e">
        <v>#N/A</v>
      </c>
      <c r="AL291" s="4" t="e">
        <v>#N/A</v>
      </c>
      <c r="AM291" s="4">
        <v>0</v>
      </c>
      <c r="AN291" s="4">
        <v>0</v>
      </c>
      <c r="AP291" s="4">
        <f>[1]Hist!$X301</f>
        <v>0</v>
      </c>
    </row>
    <row r="292" spans="1:42" x14ac:dyDescent="0.2">
      <c r="A292" s="4">
        <v>291</v>
      </c>
      <c r="B292" s="215">
        <f>[2]Arkusz1!B295</f>
        <v>0</v>
      </c>
      <c r="C292" s="44" t="str">
        <f>_xlfn.CONCAT([2]Arkusz1!G295," ",[2]Arkusz1!H295)</f>
        <v xml:space="preserve"> </v>
      </c>
      <c r="D292" s="4" t="e">
        <f>_xlfn.XLOOKUP(H292,[4]Sheet1!$I$2:$I$40,[4]Sheet1!$Y$2:$Y$40,,2,1)</f>
        <v>#N/A</v>
      </c>
      <c r="E292" s="4" t="e">
        <f>_xlfn.XLOOKUP(H292,[4]Sheet1!$I$2:$I$40,[4]Sheet1!$K$2:$K$40,,2,1)</f>
        <v>#N/A</v>
      </c>
      <c r="F292" s="218" t="e">
        <f>_xlfn.XLOOKUP(H292,[4]Sheet1!$I$2:$I$40,[4]Sheet1!$J$2:$J$40,,2,1)</f>
        <v>#N/A</v>
      </c>
      <c r="G292" s="4">
        <f>[2]Arkusz1!E295</f>
        <v>0</v>
      </c>
      <c r="H292" s="4">
        <f>[2]Arkusz1!J295</f>
        <v>0</v>
      </c>
      <c r="I292" s="213" t="str">
        <f>_xlfn.CONCAT([2]Arkusz1!C295," ",[2]Arkusz1!D295)</f>
        <v xml:space="preserve"> </v>
      </c>
      <c r="J292" s="216">
        <f ca="1">IF(DATEDIF([2]Arkusz1!S295,TODAY(),"Y")&gt;21,0,DATEDIF([2]Arkusz1!S295,TODAY(),"Y"))</f>
        <v>0</v>
      </c>
      <c r="K292" s="4">
        <f>[2]Arkusz1!T295</f>
        <v>0</v>
      </c>
      <c r="L292" s="216">
        <f>[2]Arkusz1!U295</f>
        <v>0</v>
      </c>
      <c r="M292" s="4">
        <f>[2]Arkusz1!P295</f>
        <v>0</v>
      </c>
      <c r="N292" s="4">
        <f>[2]Arkusz1!Q295</f>
        <v>0</v>
      </c>
      <c r="O292" s="4">
        <f>[2]Arkusz1!V295</f>
        <v>0</v>
      </c>
      <c r="P292" s="4">
        <f t="shared" si="6"/>
        <v>176</v>
      </c>
      <c r="Q292" s="4">
        <f>[2]Arkusz1!Y295</f>
        <v>0</v>
      </c>
      <c r="R292" s="4">
        <v>0</v>
      </c>
      <c r="S292" s="4" t="s">
        <v>64</v>
      </c>
      <c r="T292" s="4">
        <f>[2]Arkusz1!AA295</f>
        <v>0</v>
      </c>
      <c r="U292" s="4" t="str">
        <f>IF([2]Arkusz1!O295=[2]Arkusz1!$O$7,"Z",IF([2]Arkusz1!O295=[2]Arkusz1!$O$15,"Ix3",IF([2]Arkusz1!O295=[2]Arkusz1!$O$20,"Ix1","Ix2")))</f>
        <v>Ix2</v>
      </c>
      <c r="V292" s="4">
        <f>[2]Arkusz1!AM295</f>
        <v>0</v>
      </c>
      <c r="W292" s="4">
        <f>[2]Arkusz1!AB296</f>
        <v>0</v>
      </c>
      <c r="X292" s="4" t="e">
        <f>_xlfn.TEXTBEFORE([2]Arkusz1!AC296," (")</f>
        <v>#N/A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I292" s="4" t="s">
        <v>546</v>
      </c>
      <c r="AJ292" s="4" t="e">
        <v>#N/A</v>
      </c>
      <c r="AK292" s="4" t="e">
        <v>#N/A</v>
      </c>
      <c r="AL292" s="4" t="e">
        <v>#N/A</v>
      </c>
      <c r="AM292" s="4">
        <v>0</v>
      </c>
      <c r="AN292" s="4">
        <v>0</v>
      </c>
      <c r="AP292" s="4">
        <f>[1]Hist!$X302</f>
        <v>0</v>
      </c>
    </row>
    <row r="293" spans="1:42" x14ac:dyDescent="0.2">
      <c r="A293" s="4">
        <v>292</v>
      </c>
      <c r="B293" s="215">
        <f>[2]Arkusz1!B296</f>
        <v>0</v>
      </c>
      <c r="C293" s="44" t="str">
        <f>_xlfn.CONCAT([2]Arkusz1!G296," ",[2]Arkusz1!H296)</f>
        <v xml:space="preserve"> </v>
      </c>
      <c r="D293" s="4" t="e">
        <f>_xlfn.XLOOKUP(H293,[4]Sheet1!$I$2:$I$40,[4]Sheet1!$Y$2:$Y$40,,2,1)</f>
        <v>#N/A</v>
      </c>
      <c r="E293" s="4" t="e">
        <f>_xlfn.XLOOKUP(H293,[4]Sheet1!$I$2:$I$40,[4]Sheet1!$K$2:$K$40,,2,1)</f>
        <v>#N/A</v>
      </c>
      <c r="F293" s="218" t="e">
        <f>_xlfn.XLOOKUP(H293,[4]Sheet1!$I$2:$I$40,[4]Sheet1!$J$2:$J$40,,2,1)</f>
        <v>#N/A</v>
      </c>
      <c r="G293" s="4">
        <f>[2]Arkusz1!E296</f>
        <v>0</v>
      </c>
      <c r="H293" s="4">
        <f>[2]Arkusz1!J296</f>
        <v>0</v>
      </c>
      <c r="I293" s="213" t="str">
        <f>_xlfn.CONCAT([2]Arkusz1!C296," ",[2]Arkusz1!D296)</f>
        <v xml:space="preserve"> </v>
      </c>
      <c r="J293" s="216">
        <f ca="1">IF(DATEDIF([2]Arkusz1!S296,TODAY(),"Y")&gt;21,0,DATEDIF([2]Arkusz1!S296,TODAY(),"Y"))</f>
        <v>0</v>
      </c>
      <c r="K293" s="4">
        <f>[2]Arkusz1!T296</f>
        <v>0</v>
      </c>
      <c r="L293" s="216">
        <f>[2]Arkusz1!U296</f>
        <v>0</v>
      </c>
      <c r="M293" s="4">
        <f>[2]Arkusz1!P296</f>
        <v>0</v>
      </c>
      <c r="N293" s="4">
        <f>[2]Arkusz1!Q296</f>
        <v>0</v>
      </c>
      <c r="O293" s="4">
        <f>[2]Arkusz1!V296</f>
        <v>0</v>
      </c>
      <c r="P293" s="4">
        <f t="shared" si="6"/>
        <v>176</v>
      </c>
      <c r="Q293" s="4">
        <f>[2]Arkusz1!Y296</f>
        <v>0</v>
      </c>
      <c r="R293" s="4">
        <v>0</v>
      </c>
      <c r="S293" s="4" t="s">
        <v>64</v>
      </c>
      <c r="T293" s="4">
        <f>[2]Arkusz1!AA296</f>
        <v>0</v>
      </c>
      <c r="U293" s="4" t="str">
        <f>IF([2]Arkusz1!O296=[2]Arkusz1!$O$7,"Z",IF([2]Arkusz1!O296=[2]Arkusz1!$O$15,"Ix3",IF([2]Arkusz1!O296=[2]Arkusz1!$O$20,"Ix1","Ix2")))</f>
        <v>Ix2</v>
      </c>
      <c r="V293" s="4">
        <f>[2]Arkusz1!AM296</f>
        <v>0</v>
      </c>
      <c r="W293" s="4">
        <f>[2]Arkusz1!AB297</f>
        <v>0</v>
      </c>
      <c r="X293" s="4" t="e">
        <f>_xlfn.TEXTBEFORE([2]Arkusz1!AC297," (")</f>
        <v>#N/A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I293" s="4" t="s">
        <v>546</v>
      </c>
      <c r="AJ293" s="4" t="e">
        <v>#N/A</v>
      </c>
      <c r="AK293" s="4" t="e">
        <v>#N/A</v>
      </c>
      <c r="AL293" s="4" t="e">
        <v>#N/A</v>
      </c>
      <c r="AM293" s="4">
        <v>0</v>
      </c>
      <c r="AN293" s="4">
        <v>0</v>
      </c>
      <c r="AP293" s="4">
        <f>[1]Hist!$X303</f>
        <v>0</v>
      </c>
    </row>
    <row r="294" spans="1:42" x14ac:dyDescent="0.2">
      <c r="A294" s="4">
        <v>293</v>
      </c>
      <c r="B294" s="215">
        <f>[2]Arkusz1!B297</f>
        <v>0</v>
      </c>
      <c r="C294" s="44" t="str">
        <f>_xlfn.CONCAT([2]Arkusz1!G297," ",[2]Arkusz1!H297)</f>
        <v xml:space="preserve"> </v>
      </c>
      <c r="D294" s="4" t="e">
        <f>_xlfn.XLOOKUP(H294,[4]Sheet1!$I$2:$I$40,[4]Sheet1!$Y$2:$Y$40,,2,1)</f>
        <v>#N/A</v>
      </c>
      <c r="E294" s="4" t="e">
        <f>_xlfn.XLOOKUP(H294,[4]Sheet1!$I$2:$I$40,[4]Sheet1!$K$2:$K$40,,2,1)</f>
        <v>#N/A</v>
      </c>
      <c r="F294" s="218" t="e">
        <f>_xlfn.XLOOKUP(H294,[4]Sheet1!$I$2:$I$40,[4]Sheet1!$J$2:$J$40,,2,1)</f>
        <v>#N/A</v>
      </c>
      <c r="G294" s="4">
        <f>[2]Arkusz1!E297</f>
        <v>0</v>
      </c>
      <c r="H294" s="4">
        <f>[2]Arkusz1!J297</f>
        <v>0</v>
      </c>
      <c r="I294" s="213" t="str">
        <f>_xlfn.CONCAT([2]Arkusz1!C297," ",[2]Arkusz1!D297)</f>
        <v xml:space="preserve"> </v>
      </c>
      <c r="J294" s="216">
        <f ca="1">IF(DATEDIF([2]Arkusz1!S297,TODAY(),"Y")&gt;21,0,DATEDIF([2]Arkusz1!S297,TODAY(),"Y"))</f>
        <v>0</v>
      </c>
      <c r="K294" s="4">
        <f>[2]Arkusz1!T297</f>
        <v>0</v>
      </c>
      <c r="L294" s="216">
        <f>[2]Arkusz1!U297</f>
        <v>0</v>
      </c>
      <c r="M294" s="4">
        <f>[2]Arkusz1!P297</f>
        <v>0</v>
      </c>
      <c r="N294" s="4">
        <f>[2]Arkusz1!Q297</f>
        <v>0</v>
      </c>
      <c r="O294" s="4">
        <f>[2]Arkusz1!V297</f>
        <v>0</v>
      </c>
      <c r="P294" s="4">
        <f t="shared" si="6"/>
        <v>176</v>
      </c>
      <c r="Q294" s="4">
        <f>[2]Arkusz1!Y297</f>
        <v>0</v>
      </c>
      <c r="R294" s="4">
        <v>0</v>
      </c>
      <c r="S294" s="4" t="s">
        <v>64</v>
      </c>
      <c r="T294" s="4">
        <f>[2]Arkusz1!AA297</f>
        <v>0</v>
      </c>
      <c r="U294" s="4" t="str">
        <f>IF([2]Arkusz1!O297=[2]Arkusz1!$O$7,"Z",IF([2]Arkusz1!O297=[2]Arkusz1!$O$15,"Ix3",IF([2]Arkusz1!O297=[2]Arkusz1!$O$20,"Ix1","Ix2")))</f>
        <v>Ix2</v>
      </c>
      <c r="V294" s="4">
        <f>[2]Arkusz1!AM297</f>
        <v>0</v>
      </c>
      <c r="W294" s="4">
        <f>[2]Arkusz1!AB298</f>
        <v>0</v>
      </c>
      <c r="X294" s="4" t="e">
        <f>_xlfn.TEXTBEFORE([2]Arkusz1!AC298," (")</f>
        <v>#N/A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I294" s="4" t="s">
        <v>546</v>
      </c>
      <c r="AJ294" s="4" t="e">
        <v>#N/A</v>
      </c>
      <c r="AK294" s="4" t="e">
        <v>#N/A</v>
      </c>
      <c r="AL294" s="4" t="e">
        <v>#N/A</v>
      </c>
      <c r="AM294" s="4">
        <v>0</v>
      </c>
      <c r="AN294" s="4">
        <v>0</v>
      </c>
      <c r="AP294" s="4">
        <f>[1]Hist!$X304</f>
        <v>0</v>
      </c>
    </row>
    <row r="295" spans="1:42" x14ac:dyDescent="0.2">
      <c r="A295" s="4">
        <v>294</v>
      </c>
      <c r="B295" s="215">
        <f>[2]Arkusz1!B298</f>
        <v>0</v>
      </c>
      <c r="C295" s="44" t="str">
        <f>_xlfn.CONCAT([2]Arkusz1!G298," ",[2]Arkusz1!H298)</f>
        <v xml:space="preserve"> </v>
      </c>
      <c r="D295" s="4" t="e">
        <f>_xlfn.XLOOKUP(H295,[4]Sheet1!$I$2:$I$40,[4]Sheet1!$Y$2:$Y$40,,2,1)</f>
        <v>#N/A</v>
      </c>
      <c r="E295" s="4" t="e">
        <f>_xlfn.XLOOKUP(H295,[4]Sheet1!$I$2:$I$40,[4]Sheet1!$K$2:$K$40,,2,1)</f>
        <v>#N/A</v>
      </c>
      <c r="F295" s="218" t="e">
        <f>_xlfn.XLOOKUP(H295,[4]Sheet1!$I$2:$I$40,[4]Sheet1!$J$2:$J$40,,2,1)</f>
        <v>#N/A</v>
      </c>
      <c r="G295" s="4">
        <f>[2]Arkusz1!E298</f>
        <v>0</v>
      </c>
      <c r="H295" s="4">
        <f>[2]Arkusz1!J298</f>
        <v>0</v>
      </c>
      <c r="I295" s="213" t="str">
        <f>_xlfn.CONCAT([2]Arkusz1!C298," ",[2]Arkusz1!D298)</f>
        <v xml:space="preserve"> </v>
      </c>
      <c r="J295" s="216">
        <f ca="1">IF(DATEDIF([2]Arkusz1!S298,TODAY(),"Y")&gt;21,0,DATEDIF([2]Arkusz1!S298,TODAY(),"Y"))</f>
        <v>0</v>
      </c>
      <c r="K295" s="4">
        <f>[2]Arkusz1!T298</f>
        <v>0</v>
      </c>
      <c r="L295" s="216">
        <f>[2]Arkusz1!U298</f>
        <v>0</v>
      </c>
      <c r="M295" s="4">
        <f>[2]Arkusz1!P298</f>
        <v>0</v>
      </c>
      <c r="N295" s="4">
        <f>[2]Arkusz1!Q298</f>
        <v>0</v>
      </c>
      <c r="O295" s="4">
        <f>[2]Arkusz1!V298</f>
        <v>0</v>
      </c>
      <c r="P295" s="4">
        <f t="shared" si="6"/>
        <v>176</v>
      </c>
      <c r="Q295" s="4">
        <f>[2]Arkusz1!Y298</f>
        <v>0</v>
      </c>
      <c r="R295" s="4">
        <v>0</v>
      </c>
      <c r="S295" s="4" t="s">
        <v>64</v>
      </c>
      <c r="T295" s="4">
        <f>[2]Arkusz1!AA298</f>
        <v>0</v>
      </c>
      <c r="U295" s="4" t="str">
        <f>IF([2]Arkusz1!O298=[2]Arkusz1!$O$7,"Z",IF([2]Arkusz1!O298=[2]Arkusz1!$O$15,"Ix3",IF([2]Arkusz1!O298=[2]Arkusz1!$O$20,"Ix1","Ix2")))</f>
        <v>Ix2</v>
      </c>
      <c r="V295" s="4">
        <f>[2]Arkusz1!AM298</f>
        <v>0</v>
      </c>
      <c r="W295" s="4">
        <f>[2]Arkusz1!AB299</f>
        <v>0</v>
      </c>
      <c r="X295" s="4" t="e">
        <f>_xlfn.TEXTBEFORE([2]Arkusz1!AC299," (")</f>
        <v>#N/A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I295" s="4" t="s">
        <v>546</v>
      </c>
      <c r="AJ295" s="4" t="e">
        <v>#N/A</v>
      </c>
      <c r="AK295" s="4" t="e">
        <v>#N/A</v>
      </c>
      <c r="AL295" s="4" t="e">
        <v>#N/A</v>
      </c>
      <c r="AM295" s="4">
        <v>0</v>
      </c>
      <c r="AN295" s="4">
        <v>0</v>
      </c>
      <c r="AP295" s="4">
        <f>[1]Hist!$X305</f>
        <v>0</v>
      </c>
    </row>
    <row r="296" spans="1:42" x14ac:dyDescent="0.2">
      <c r="A296" s="4">
        <v>295</v>
      </c>
      <c r="B296" s="215">
        <f>[2]Arkusz1!B299</f>
        <v>0</v>
      </c>
      <c r="C296" s="44" t="str">
        <f>_xlfn.CONCAT([2]Arkusz1!G299," ",[2]Arkusz1!H299)</f>
        <v xml:space="preserve"> </v>
      </c>
      <c r="D296" s="4" t="e">
        <f>_xlfn.XLOOKUP(H296,[4]Sheet1!$I$2:$I$40,[4]Sheet1!$Y$2:$Y$40,,2,1)</f>
        <v>#N/A</v>
      </c>
      <c r="E296" s="4" t="e">
        <f>_xlfn.XLOOKUP(H296,[4]Sheet1!$I$2:$I$40,[4]Sheet1!$K$2:$K$40,,2,1)</f>
        <v>#N/A</v>
      </c>
      <c r="F296" s="218" t="e">
        <f>_xlfn.XLOOKUP(H296,[4]Sheet1!$I$2:$I$40,[4]Sheet1!$J$2:$J$40,,2,1)</f>
        <v>#N/A</v>
      </c>
      <c r="G296" s="4">
        <f>[2]Arkusz1!E299</f>
        <v>0</v>
      </c>
      <c r="H296" s="4">
        <f>[2]Arkusz1!J299</f>
        <v>0</v>
      </c>
      <c r="I296" s="213" t="str">
        <f>_xlfn.CONCAT([2]Arkusz1!C299," ",[2]Arkusz1!D299)</f>
        <v xml:space="preserve"> </v>
      </c>
      <c r="J296" s="216">
        <f ca="1">IF(DATEDIF([2]Arkusz1!S299,TODAY(),"Y")&gt;21,0,DATEDIF([2]Arkusz1!S299,TODAY(),"Y"))</f>
        <v>0</v>
      </c>
      <c r="K296" s="4">
        <f>[2]Arkusz1!T299</f>
        <v>0</v>
      </c>
      <c r="L296" s="216">
        <f>[2]Arkusz1!U299</f>
        <v>0</v>
      </c>
      <c r="M296" s="4">
        <f>[2]Arkusz1!P299</f>
        <v>0</v>
      </c>
      <c r="N296" s="4">
        <f>[2]Arkusz1!Q299</f>
        <v>0</v>
      </c>
      <c r="O296" s="4">
        <f>[2]Arkusz1!V299</f>
        <v>0</v>
      </c>
      <c r="P296" s="4">
        <f t="shared" si="6"/>
        <v>176</v>
      </c>
      <c r="Q296" s="4">
        <f>[2]Arkusz1!Y299</f>
        <v>0</v>
      </c>
      <c r="R296" s="4">
        <v>0</v>
      </c>
      <c r="S296" s="4" t="s">
        <v>64</v>
      </c>
      <c r="T296" s="4">
        <f>[2]Arkusz1!AA299</f>
        <v>0</v>
      </c>
      <c r="U296" s="4" t="str">
        <f>IF([2]Arkusz1!O299=[2]Arkusz1!$O$7,"Z",IF([2]Arkusz1!O299=[2]Arkusz1!$O$15,"Ix3",IF([2]Arkusz1!O299=[2]Arkusz1!$O$20,"Ix1","Ix2")))</f>
        <v>Ix2</v>
      </c>
      <c r="V296" s="4">
        <f>[2]Arkusz1!AM299</f>
        <v>0</v>
      </c>
      <c r="W296" s="4">
        <f>[2]Arkusz1!AB300</f>
        <v>0</v>
      </c>
      <c r="X296" s="4" t="e">
        <f>_xlfn.TEXTBEFORE([2]Arkusz1!AC300," (")</f>
        <v>#N/A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I296" s="4" t="s">
        <v>546</v>
      </c>
      <c r="AJ296" s="4" t="e">
        <v>#N/A</v>
      </c>
      <c r="AK296" s="4" t="e">
        <v>#N/A</v>
      </c>
      <c r="AL296" s="4" t="e">
        <v>#N/A</v>
      </c>
      <c r="AM296" s="4">
        <v>0</v>
      </c>
      <c r="AN296" s="4">
        <v>0</v>
      </c>
      <c r="AP296" s="4">
        <f>[1]Hist!$X306</f>
        <v>0</v>
      </c>
    </row>
    <row r="297" spans="1:42" x14ac:dyDescent="0.2">
      <c r="A297" s="4">
        <v>296</v>
      </c>
      <c r="B297" s="215">
        <f>[2]Arkusz1!B300</f>
        <v>0</v>
      </c>
      <c r="C297" s="44" t="str">
        <f>_xlfn.CONCAT([2]Arkusz1!G300," ",[2]Arkusz1!H300)</f>
        <v xml:space="preserve"> </v>
      </c>
      <c r="D297" s="4" t="e">
        <f>_xlfn.XLOOKUP(H297,[4]Sheet1!$I$2:$I$40,[4]Sheet1!$Y$2:$Y$40,,2,1)</f>
        <v>#N/A</v>
      </c>
      <c r="E297" s="4" t="e">
        <f>_xlfn.XLOOKUP(H297,[4]Sheet1!$I$2:$I$40,[4]Sheet1!$K$2:$K$40,,2,1)</f>
        <v>#N/A</v>
      </c>
      <c r="F297" s="218" t="e">
        <f>_xlfn.XLOOKUP(H297,[4]Sheet1!$I$2:$I$40,[4]Sheet1!$J$2:$J$40,,2,1)</f>
        <v>#N/A</v>
      </c>
      <c r="G297" s="4">
        <f>[2]Arkusz1!E300</f>
        <v>0</v>
      </c>
      <c r="H297" s="4">
        <f>[2]Arkusz1!J300</f>
        <v>0</v>
      </c>
      <c r="I297" s="213" t="str">
        <f>_xlfn.CONCAT([2]Arkusz1!C300," ",[2]Arkusz1!D300)</f>
        <v xml:space="preserve"> </v>
      </c>
      <c r="J297" s="216">
        <f ca="1">IF(DATEDIF([2]Arkusz1!S300,TODAY(),"Y")&gt;21,0,DATEDIF([2]Arkusz1!S300,TODAY(),"Y"))</f>
        <v>0</v>
      </c>
      <c r="K297" s="4">
        <f>[2]Arkusz1!T300</f>
        <v>0</v>
      </c>
      <c r="L297" s="216">
        <f>[2]Arkusz1!U300</f>
        <v>0</v>
      </c>
      <c r="M297" s="4">
        <f>[2]Arkusz1!P300</f>
        <v>0</v>
      </c>
      <c r="N297" s="4">
        <f>[2]Arkusz1!Q300</f>
        <v>0</v>
      </c>
      <c r="O297" s="4">
        <f>[2]Arkusz1!V300</f>
        <v>0</v>
      </c>
      <c r="P297" s="4">
        <f t="shared" si="6"/>
        <v>176</v>
      </c>
      <c r="Q297" s="4">
        <f>[2]Arkusz1!Y300</f>
        <v>0</v>
      </c>
      <c r="R297" s="4">
        <v>0</v>
      </c>
      <c r="S297" s="4" t="s">
        <v>64</v>
      </c>
      <c r="T297" s="4">
        <f>[2]Arkusz1!AA300</f>
        <v>0</v>
      </c>
      <c r="U297" s="4" t="str">
        <f>IF([2]Arkusz1!O300=[2]Arkusz1!$O$7,"Z",IF([2]Arkusz1!O300=[2]Arkusz1!$O$15,"Ix3",IF([2]Arkusz1!O300=[2]Arkusz1!$O$20,"Ix1","Ix2")))</f>
        <v>Ix2</v>
      </c>
      <c r="V297" s="4">
        <f>[2]Arkusz1!AM300</f>
        <v>0</v>
      </c>
      <c r="W297" s="4">
        <f>[2]Arkusz1!AB301</f>
        <v>0</v>
      </c>
      <c r="X297" s="4" t="e">
        <f>_xlfn.TEXTBEFORE([2]Arkusz1!AC301," (")</f>
        <v>#N/A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I297" s="4" t="s">
        <v>546</v>
      </c>
      <c r="AJ297" s="4" t="e">
        <v>#N/A</v>
      </c>
      <c r="AK297" s="4" t="e">
        <v>#N/A</v>
      </c>
      <c r="AL297" s="4" t="e">
        <v>#N/A</v>
      </c>
      <c r="AM297" s="4">
        <v>0</v>
      </c>
      <c r="AN297" s="4">
        <v>0</v>
      </c>
      <c r="AP297" s="4">
        <f>[1]Hist!$X307</f>
        <v>0</v>
      </c>
    </row>
    <row r="298" spans="1:42" x14ac:dyDescent="0.2">
      <c r="A298" s="4">
        <v>297</v>
      </c>
      <c r="B298" s="215">
        <f>[2]Arkusz1!B301</f>
        <v>0</v>
      </c>
      <c r="C298" s="44" t="str">
        <f>_xlfn.CONCAT([2]Arkusz1!G301," ",[2]Arkusz1!H301)</f>
        <v xml:space="preserve"> </v>
      </c>
      <c r="D298" s="4" t="e">
        <f>_xlfn.XLOOKUP(H298,[4]Sheet1!$I$2:$I$40,[4]Sheet1!$Y$2:$Y$40,,2,1)</f>
        <v>#N/A</v>
      </c>
      <c r="E298" s="4" t="e">
        <f>_xlfn.XLOOKUP(H298,[4]Sheet1!$I$2:$I$40,[4]Sheet1!$K$2:$K$40,,2,1)</f>
        <v>#N/A</v>
      </c>
      <c r="F298" s="218" t="e">
        <f>_xlfn.XLOOKUP(H298,[4]Sheet1!$I$2:$I$40,[4]Sheet1!$J$2:$J$40,,2,1)</f>
        <v>#N/A</v>
      </c>
      <c r="G298" s="4">
        <f>[2]Arkusz1!E301</f>
        <v>0</v>
      </c>
      <c r="H298" s="4">
        <f>[2]Arkusz1!J301</f>
        <v>0</v>
      </c>
      <c r="I298" s="213" t="str">
        <f>_xlfn.CONCAT([2]Arkusz1!C301," ",[2]Arkusz1!D301)</f>
        <v xml:space="preserve"> </v>
      </c>
      <c r="J298" s="216">
        <f ca="1">IF(DATEDIF([2]Arkusz1!S301,TODAY(),"Y")&gt;21,0,DATEDIF([2]Arkusz1!S301,TODAY(),"Y"))</f>
        <v>0</v>
      </c>
      <c r="K298" s="4">
        <f>[2]Arkusz1!T301</f>
        <v>0</v>
      </c>
      <c r="L298" s="216">
        <f>[2]Arkusz1!U301</f>
        <v>0</v>
      </c>
      <c r="M298" s="4">
        <f>[2]Arkusz1!P301</f>
        <v>0</v>
      </c>
      <c r="N298" s="4">
        <f>[2]Arkusz1!Q301</f>
        <v>0</v>
      </c>
      <c r="O298" s="4">
        <f>[2]Arkusz1!V301</f>
        <v>0</v>
      </c>
      <c r="P298" s="4">
        <f t="shared" si="6"/>
        <v>176</v>
      </c>
      <c r="Q298" s="4">
        <f>[2]Arkusz1!Y301</f>
        <v>0</v>
      </c>
      <c r="R298" s="4">
        <v>0</v>
      </c>
      <c r="S298" s="4" t="s">
        <v>64</v>
      </c>
      <c r="T298" s="4">
        <f>[2]Arkusz1!AA301</f>
        <v>0</v>
      </c>
      <c r="U298" s="4" t="str">
        <f>IF([2]Arkusz1!O301=[2]Arkusz1!$O$7,"Z",IF([2]Arkusz1!O301=[2]Arkusz1!$O$15,"Ix3",IF([2]Arkusz1!O301=[2]Arkusz1!$O$20,"Ix1","Ix2")))</f>
        <v>Ix2</v>
      </c>
      <c r="V298" s="4">
        <f>[2]Arkusz1!AM301</f>
        <v>0</v>
      </c>
      <c r="W298" s="4">
        <f>[2]Arkusz1!AB302</f>
        <v>0</v>
      </c>
      <c r="X298" s="4" t="e">
        <f>_xlfn.TEXTBEFORE([2]Arkusz1!AC302," (")</f>
        <v>#N/A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I298" s="4" t="s">
        <v>546</v>
      </c>
      <c r="AJ298" s="4" t="e">
        <v>#N/A</v>
      </c>
      <c r="AK298" s="4" t="e">
        <v>#N/A</v>
      </c>
      <c r="AL298" s="4" t="e">
        <v>#N/A</v>
      </c>
      <c r="AM298" s="4">
        <v>0</v>
      </c>
      <c r="AN298" s="4">
        <v>0</v>
      </c>
      <c r="AP298" s="4">
        <f>[1]Hist!$X308</f>
        <v>0</v>
      </c>
    </row>
    <row r="299" spans="1:42" x14ac:dyDescent="0.2">
      <c r="A299" s="4">
        <v>298</v>
      </c>
      <c r="B299" s="215">
        <f>[2]Arkusz1!B302</f>
        <v>0</v>
      </c>
      <c r="C299" s="44" t="str">
        <f>_xlfn.CONCAT([2]Arkusz1!G302," ",[2]Arkusz1!H302)</f>
        <v xml:space="preserve"> </v>
      </c>
      <c r="D299" s="4" t="e">
        <f>_xlfn.XLOOKUP(H299,[4]Sheet1!$I$2:$I$40,[4]Sheet1!$Y$2:$Y$40,,2,1)</f>
        <v>#N/A</v>
      </c>
      <c r="E299" s="4" t="e">
        <f>_xlfn.XLOOKUP(H299,[4]Sheet1!$I$2:$I$40,[4]Sheet1!$K$2:$K$40,,2,1)</f>
        <v>#N/A</v>
      </c>
      <c r="F299" s="218" t="e">
        <f>_xlfn.XLOOKUP(H299,[4]Sheet1!$I$2:$I$40,[4]Sheet1!$J$2:$J$40,,2,1)</f>
        <v>#N/A</v>
      </c>
      <c r="G299" s="4">
        <f>[2]Arkusz1!E302</f>
        <v>0</v>
      </c>
      <c r="H299" s="4">
        <f>[2]Arkusz1!J302</f>
        <v>0</v>
      </c>
      <c r="I299" s="213" t="str">
        <f>_xlfn.CONCAT([2]Arkusz1!C302," ",[2]Arkusz1!D302)</f>
        <v xml:space="preserve"> </v>
      </c>
      <c r="J299" s="216">
        <f ca="1">IF(DATEDIF([2]Arkusz1!S302,TODAY(),"Y")&gt;21,0,DATEDIF([2]Arkusz1!S302,TODAY(),"Y"))</f>
        <v>0</v>
      </c>
      <c r="K299" s="4">
        <f>[2]Arkusz1!T302</f>
        <v>0</v>
      </c>
      <c r="L299" s="216">
        <f>[2]Arkusz1!U302</f>
        <v>0</v>
      </c>
      <c r="M299" s="4">
        <f>[2]Arkusz1!P302</f>
        <v>0</v>
      </c>
      <c r="N299" s="4">
        <f>[2]Arkusz1!Q302</f>
        <v>0</v>
      </c>
      <c r="O299" s="4">
        <f>[2]Arkusz1!V302</f>
        <v>0</v>
      </c>
      <c r="P299" s="4">
        <f t="shared" si="6"/>
        <v>176</v>
      </c>
      <c r="Q299" s="4">
        <f>[2]Arkusz1!Y302</f>
        <v>0</v>
      </c>
      <c r="R299" s="4">
        <v>0</v>
      </c>
      <c r="S299" s="4" t="s">
        <v>64</v>
      </c>
      <c r="T299" s="4">
        <f>[2]Arkusz1!AA302</f>
        <v>0</v>
      </c>
      <c r="U299" s="4" t="str">
        <f>IF([2]Arkusz1!O302=[2]Arkusz1!$O$7,"Z",IF([2]Arkusz1!O302=[2]Arkusz1!$O$15,"Ix3",IF([2]Arkusz1!O302=[2]Arkusz1!$O$20,"Ix1","Ix2")))</f>
        <v>Ix2</v>
      </c>
      <c r="V299" s="4">
        <f>[2]Arkusz1!AM302</f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I299" s="4" t="s">
        <v>546</v>
      </c>
      <c r="AJ299" s="4" t="e">
        <v>#N/A</v>
      </c>
      <c r="AK299" s="4" t="e">
        <v>#N/A</v>
      </c>
      <c r="AL299" s="4" t="e">
        <v>#N/A</v>
      </c>
      <c r="AM299" s="4">
        <v>0</v>
      </c>
      <c r="AN299" s="4">
        <v>0</v>
      </c>
      <c r="AP299" s="4">
        <f>[1]Hist!$X309</f>
        <v>0</v>
      </c>
    </row>
    <row r="300" spans="1:42" x14ac:dyDescent="0.2">
      <c r="A300" s="4">
        <v>299</v>
      </c>
      <c r="B300" s="215">
        <f>[2]Arkusz1!B303</f>
        <v>0</v>
      </c>
      <c r="C300" s="44" t="str">
        <f>_xlfn.CONCAT([2]Arkusz1!G303," ",[2]Arkusz1!H303)</f>
        <v xml:space="preserve"> </v>
      </c>
      <c r="D300" s="4" t="e">
        <f>_xlfn.XLOOKUP(H300,[4]Sheet1!$I$2:$I$40,[4]Sheet1!$Y$2:$Y$40,,2,1)</f>
        <v>#N/A</v>
      </c>
      <c r="E300" s="4" t="e">
        <f>_xlfn.XLOOKUP(H300,[4]Sheet1!$I$2:$I$40,[4]Sheet1!$K$2:$K$40,,2,1)</f>
        <v>#N/A</v>
      </c>
      <c r="F300" s="218" t="e">
        <f>_xlfn.XLOOKUP(H300,[4]Sheet1!$I$2:$I$40,[4]Sheet1!$J$2:$J$40,,2,1)</f>
        <v>#N/A</v>
      </c>
      <c r="G300" s="4">
        <f>[2]Arkusz1!E303</f>
        <v>0</v>
      </c>
      <c r="H300" s="4">
        <f>[2]Arkusz1!J303</f>
        <v>0</v>
      </c>
      <c r="I300" s="213" t="str">
        <f>_xlfn.CONCAT([2]Arkusz1!C303," ",[2]Arkusz1!D303)</f>
        <v xml:space="preserve"> </v>
      </c>
      <c r="J300" s="216">
        <f ca="1">IF(DATEDIF([2]Arkusz1!S303,TODAY(),"Y")&gt;21,0,DATEDIF([2]Arkusz1!S303,TODAY(),"Y"))</f>
        <v>0</v>
      </c>
      <c r="K300" s="4">
        <f>[2]Arkusz1!T303</f>
        <v>0</v>
      </c>
      <c r="L300" s="216">
        <f>[2]Arkusz1!U303</f>
        <v>0</v>
      </c>
      <c r="M300" s="4">
        <f>[2]Arkusz1!P303</f>
        <v>0</v>
      </c>
      <c r="N300" s="4">
        <f>[2]Arkusz1!Q303</f>
        <v>0</v>
      </c>
      <c r="O300" s="4">
        <f>[2]Arkusz1!V303</f>
        <v>0</v>
      </c>
      <c r="P300" s="4">
        <f t="shared" si="6"/>
        <v>176</v>
      </c>
      <c r="Q300" s="4">
        <f>[2]Arkusz1!Y303</f>
        <v>0</v>
      </c>
      <c r="R300" s="4">
        <v>0</v>
      </c>
      <c r="S300" s="4" t="s">
        <v>64</v>
      </c>
      <c r="T300" s="4">
        <f>[2]Arkusz1!AA303</f>
        <v>0</v>
      </c>
      <c r="U300" s="4" t="str">
        <f>IF([2]Arkusz1!O303=[2]Arkusz1!$O$7,"Z",IF([2]Arkusz1!O303=[2]Arkusz1!$O$15,"Ix3",IF([2]Arkusz1!O303=[2]Arkusz1!$O$20,"Ix1","Ix2")))</f>
        <v>Ix2</v>
      </c>
      <c r="V300" s="4">
        <f>[2]Arkusz1!AM303</f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I300" s="4" t="s">
        <v>546</v>
      </c>
      <c r="AJ300" s="4" t="e">
        <v>#N/A</v>
      </c>
      <c r="AK300" s="4" t="e">
        <v>#N/A</v>
      </c>
      <c r="AL300" s="4" t="e">
        <v>#N/A</v>
      </c>
      <c r="AM300" s="4">
        <v>0</v>
      </c>
      <c r="AN300" s="4">
        <v>0</v>
      </c>
      <c r="AP300" s="4">
        <f>[1]Hist!$X310</f>
        <v>0</v>
      </c>
    </row>
    <row r="301" spans="1:42" x14ac:dyDescent="0.2">
      <c r="A301" s="4">
        <v>300</v>
      </c>
      <c r="B301" s="215">
        <f>[2]Arkusz1!B304</f>
        <v>0</v>
      </c>
      <c r="C301" s="44" t="str">
        <f>_xlfn.CONCAT([2]Arkusz1!G304," ",[2]Arkusz1!H304)</f>
        <v xml:space="preserve"> </v>
      </c>
      <c r="D301" s="4" t="e">
        <f>_xlfn.XLOOKUP(H301,[4]Sheet1!$I$2:$I$40,[4]Sheet1!$Y$2:$Y$40,,2,1)</f>
        <v>#N/A</v>
      </c>
      <c r="E301" s="4" t="e">
        <f>_xlfn.XLOOKUP(H301,[4]Sheet1!$I$2:$I$40,[4]Sheet1!$K$2:$K$40,,2,1)</f>
        <v>#N/A</v>
      </c>
      <c r="F301" s="218" t="e">
        <f>_xlfn.XLOOKUP(H301,[4]Sheet1!$I$2:$I$40,[4]Sheet1!$J$2:$J$40,,2,1)</f>
        <v>#N/A</v>
      </c>
      <c r="G301" s="4">
        <f>[2]Arkusz1!E304</f>
        <v>0</v>
      </c>
      <c r="H301" s="4">
        <f>[2]Arkusz1!J304</f>
        <v>0</v>
      </c>
      <c r="I301" s="213" t="str">
        <f>_xlfn.CONCAT([2]Arkusz1!C304," ",[2]Arkusz1!D304)</f>
        <v xml:space="preserve"> </v>
      </c>
      <c r="J301" s="216">
        <f ca="1">IF(DATEDIF([2]Arkusz1!S304,TODAY(),"Y")&gt;21,0,DATEDIF([2]Arkusz1!S304,TODAY(),"Y"))</f>
        <v>0</v>
      </c>
      <c r="K301" s="4">
        <f>[2]Arkusz1!T304</f>
        <v>0</v>
      </c>
      <c r="L301" s="216">
        <f>[2]Arkusz1!U304</f>
        <v>0</v>
      </c>
      <c r="M301" s="4">
        <f>[2]Arkusz1!P304</f>
        <v>0</v>
      </c>
      <c r="N301" s="4">
        <f>[2]Arkusz1!Q304</f>
        <v>0</v>
      </c>
      <c r="O301" s="4">
        <f>[2]Arkusz1!V304</f>
        <v>0</v>
      </c>
      <c r="P301" s="4">
        <f t="shared" si="6"/>
        <v>176</v>
      </c>
      <c r="Q301" s="4">
        <f>[2]Arkusz1!Y304</f>
        <v>0</v>
      </c>
      <c r="R301" s="4">
        <v>0</v>
      </c>
      <c r="S301" s="4" t="s">
        <v>64</v>
      </c>
      <c r="T301" s="4">
        <f>[2]Arkusz1!AA304</f>
        <v>0</v>
      </c>
      <c r="U301" s="4" t="str">
        <f>IF([2]Arkusz1!O304=[2]Arkusz1!$O$7,"Z",IF([2]Arkusz1!O304=[2]Arkusz1!$O$15,"Ix3",IF([2]Arkusz1!O304=[2]Arkusz1!$O$20,"Ix1","Ix2")))</f>
        <v>Ix2</v>
      </c>
      <c r="V301" s="4">
        <f>[2]Arkusz1!AM304</f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I301" s="4" t="s">
        <v>546</v>
      </c>
      <c r="AJ301" s="4" t="e">
        <v>#N/A</v>
      </c>
      <c r="AK301" s="4" t="e">
        <v>#N/A</v>
      </c>
      <c r="AL301" s="4" t="e">
        <v>#N/A</v>
      </c>
      <c r="AM301" s="4">
        <v>0</v>
      </c>
      <c r="AN301" s="4">
        <v>0</v>
      </c>
      <c r="AP301" s="4">
        <f>[1]Hist!$X311</f>
        <v>0</v>
      </c>
    </row>
    <row r="302" spans="1:42" x14ac:dyDescent="0.2">
      <c r="A302" s="4">
        <v>0</v>
      </c>
      <c r="B302" s="215">
        <f>[2]Arkusz1!B305</f>
        <v>0</v>
      </c>
      <c r="C302" s="44" t="str">
        <f>_xlfn.CONCAT([2]Arkusz1!G305," ",[2]Arkusz1!H305)</f>
        <v xml:space="preserve"> </v>
      </c>
      <c r="D302" s="4" t="e">
        <f>_xlfn.XLOOKUP(H302,[4]Sheet1!$I$2:$I$40,[4]Sheet1!$Y$2:$Y$40,,2,1)</f>
        <v>#N/A</v>
      </c>
      <c r="E302" s="4" t="e">
        <f>_xlfn.XLOOKUP(H302,[4]Sheet1!$I$2:$I$40,[4]Sheet1!$K$2:$K$40,,2,1)</f>
        <v>#N/A</v>
      </c>
      <c r="F302" s="218" t="e">
        <f>_xlfn.XLOOKUP(H302,[4]Sheet1!$I$2:$I$40,[4]Sheet1!$J$2:$J$40,,2,1)</f>
        <v>#N/A</v>
      </c>
      <c r="G302" s="4">
        <f>[2]Arkusz1!E305</f>
        <v>0</v>
      </c>
      <c r="H302" s="4">
        <f>[2]Arkusz1!J305</f>
        <v>0</v>
      </c>
      <c r="I302" s="213" t="str">
        <f>_xlfn.CONCAT([2]Arkusz1!C305," ",[2]Arkusz1!D305)</f>
        <v xml:space="preserve"> </v>
      </c>
      <c r="J302" s="216">
        <f ca="1">IF(DATEDIF([2]Arkusz1!S305,TODAY(),"Y")&gt;21,0,DATEDIF([2]Arkusz1!S305,TODAY(),"Y"))</f>
        <v>0</v>
      </c>
      <c r="K302" s="4">
        <f>[2]Arkusz1!T305</f>
        <v>0</v>
      </c>
      <c r="L302" s="216">
        <f>[2]Arkusz1!U305</f>
        <v>0</v>
      </c>
      <c r="M302" s="4">
        <f>[2]Arkusz1!P305</f>
        <v>0</v>
      </c>
      <c r="N302" s="4">
        <f>[2]Arkusz1!Q305</f>
        <v>0</v>
      </c>
      <c r="O302" s="4">
        <f>[2]Arkusz1!V305</f>
        <v>0</v>
      </c>
      <c r="P302" s="4">
        <f t="shared" si="6"/>
        <v>176</v>
      </c>
      <c r="Q302" s="4">
        <f>[2]Arkusz1!Y305</f>
        <v>0</v>
      </c>
      <c r="R302" s="4">
        <v>0</v>
      </c>
      <c r="S302" s="4">
        <v>0</v>
      </c>
      <c r="T302" s="4">
        <f>[2]Arkusz1!AA305</f>
        <v>0</v>
      </c>
      <c r="U302" s="4" t="str">
        <f>IF([2]Arkusz1!O305=[2]Arkusz1!$O$7,"Z",IF([2]Arkusz1!O305=[2]Arkusz1!$O$15,"Ix3",IF([2]Arkusz1!O305=[2]Arkusz1!$O$20,"Ix1","Ix2")))</f>
        <v>Ix2</v>
      </c>
      <c r="V302" s="4">
        <f>[2]Arkusz1!AM305</f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</sheetData>
  <autoFilter ref="A1:AE302" xr:uid="{F974C33D-B917-4CF8-B407-35A836F8C893}"/>
  <conditionalFormatting sqref="F3:F52 F54:F227">
    <cfRule type="cellIs" dxfId="8" priority="1" operator="lessThan">
      <formula>7010100000</formula>
    </cfRule>
  </conditionalFormatting>
  <dataValidations count="1">
    <dataValidation type="list" allowBlank="1" showInputMessage="1" showErrorMessage="1" sqref="AG3" xr:uid="{87CF50CB-173E-4A2D-9496-348281C05376}">
      <formula1>$C$3:$C$225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5749-9DFE-4DB7-BC5E-42DDABB3791C}">
  <sheetPr codeName="Arkusz110">
    <tabColor rgb="FFFFFF00"/>
  </sheetPr>
  <dimension ref="A3:CN130"/>
  <sheetViews>
    <sheetView showZeros="0" tabSelected="1" topLeftCell="A92" zoomScaleNormal="100" workbookViewId="0">
      <selection activeCell="AP105" sqref="AP105"/>
    </sheetView>
  </sheetViews>
  <sheetFormatPr defaultRowHeight="14.4" x14ac:dyDescent="0.3"/>
  <cols>
    <col min="1" max="1" width="2.33203125" customWidth="1"/>
    <col min="2" max="2" width="2.6640625" customWidth="1"/>
    <col min="3" max="3" width="2.33203125" customWidth="1"/>
    <col min="4" max="4" width="3" customWidth="1"/>
    <col min="5" max="10" width="2.33203125" customWidth="1"/>
    <col min="11" max="11" width="10.88671875" customWidth="1"/>
    <col min="12" max="19" width="2.33203125" customWidth="1"/>
    <col min="20" max="20" width="2.88671875" customWidth="1"/>
    <col min="21" max="21" width="2.33203125" customWidth="1"/>
    <col min="22" max="22" width="3.109375" customWidth="1"/>
    <col min="23" max="23" width="2.109375" customWidth="1"/>
    <col min="24" max="25" width="2.33203125" customWidth="1"/>
    <col min="26" max="27" width="3" customWidth="1"/>
    <col min="28" max="28" width="2.44140625" customWidth="1"/>
    <col min="29" max="29" width="2.33203125" customWidth="1"/>
    <col min="30" max="30" width="2.88671875" customWidth="1"/>
    <col min="31" max="31" width="2.109375" customWidth="1"/>
    <col min="32" max="32" width="1.5546875" customWidth="1"/>
    <col min="33" max="38" width="2.33203125" customWidth="1"/>
    <col min="39" max="39" width="6" customWidth="1"/>
    <col min="40" max="40" width="11.6640625" style="4" bestFit="1" customWidth="1"/>
    <col min="41" max="41" width="10.109375" style="4" bestFit="1" customWidth="1"/>
    <col min="42" max="42" width="9.33203125" style="4" customWidth="1"/>
    <col min="43" max="43" width="8.88671875" style="4"/>
    <col min="44" max="44" width="9.88671875" style="4" bestFit="1" customWidth="1"/>
    <col min="45" max="45" width="7.6640625" style="4" customWidth="1"/>
    <col min="46" max="46" width="10.109375" style="4" bestFit="1" customWidth="1"/>
    <col min="47" max="48" width="8.88671875" style="4"/>
    <col min="49" max="50" width="10.109375" style="4" bestFit="1" customWidth="1"/>
    <col min="51" max="85" width="8.88671875" style="4"/>
  </cols>
  <sheetData>
    <row r="3" spans="1:5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S3" s="2" t="s">
        <v>0</v>
      </c>
      <c r="V3" s="3"/>
      <c r="AY3" s="4">
        <f>MONTH(AY5)</f>
        <v>6</v>
      </c>
    </row>
    <row r="4" spans="1:5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S4" s="2" t="s">
        <v>1</v>
      </c>
    </row>
    <row r="5" spans="1:5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AO5" s="5" t="s">
        <v>2</v>
      </c>
      <c r="AP5" s="5">
        <v>1</v>
      </c>
      <c r="AQ5" s="5" t="s">
        <v>3</v>
      </c>
      <c r="AR5" s="5">
        <v>60</v>
      </c>
      <c r="AS5" s="5" t="s">
        <v>4</v>
      </c>
      <c r="AT5" s="6">
        <f t="shared" ref="AT5:AT19" si="0">IF($AA$59=5,AW5,IF($AA$59=15,AX5,AY5))</f>
        <v>46188</v>
      </c>
      <c r="AU5" s="7">
        <f t="shared" ref="AU5:AU19" si="1">$I$57</f>
        <v>329.77</v>
      </c>
      <c r="AW5" s="6">
        <v>46178</v>
      </c>
      <c r="AX5" s="6">
        <v>46188</v>
      </c>
      <c r="AY5" s="6">
        <v>46198</v>
      </c>
    </row>
    <row r="6" spans="1:51" x14ac:dyDescent="0.3">
      <c r="B6" s="8"/>
      <c r="C6" s="8"/>
      <c r="D6" s="8"/>
      <c r="H6" s="9"/>
      <c r="J6" s="8"/>
      <c r="K6" s="8"/>
      <c r="L6" s="8"/>
      <c r="M6" s="8"/>
      <c r="S6" s="10" t="s">
        <v>5</v>
      </c>
      <c r="T6" s="230">
        <v>45915</v>
      </c>
      <c r="U6" s="230"/>
      <c r="V6" s="230"/>
      <c r="W6" s="230"/>
      <c r="X6" s="230"/>
      <c r="Y6" s="8" t="s">
        <v>6</v>
      </c>
      <c r="AO6" s="5" t="s">
        <v>7</v>
      </c>
      <c r="AP6" s="5">
        <v>2</v>
      </c>
      <c r="AQ6" s="5" t="s">
        <v>8</v>
      </c>
      <c r="AR6" s="5">
        <v>45</v>
      </c>
      <c r="AS6" s="5" t="s">
        <v>9</v>
      </c>
      <c r="AT6" s="6">
        <f t="shared" si="0"/>
        <v>46218</v>
      </c>
      <c r="AU6" s="7">
        <f t="shared" si="1"/>
        <v>329.77</v>
      </c>
      <c r="AV6" s="7">
        <f>AU6*0.95</f>
        <v>313.28149999999999</v>
      </c>
      <c r="AW6" s="6">
        <f>EDATE(AW5,1)</f>
        <v>46208</v>
      </c>
      <c r="AX6" s="6">
        <f>EDATE(AX5,1)</f>
        <v>46218</v>
      </c>
      <c r="AY6" s="6">
        <f>EDATE(AY5,1)</f>
        <v>46228</v>
      </c>
    </row>
    <row r="7" spans="1:5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AO7" s="5" t="s">
        <v>10</v>
      </c>
      <c r="AP7" s="5">
        <v>3</v>
      </c>
      <c r="AQ7" s="5" t="s">
        <v>11</v>
      </c>
      <c r="AS7" s="5" t="s">
        <v>12</v>
      </c>
      <c r="AT7" s="6">
        <f t="shared" si="0"/>
        <v>46249</v>
      </c>
      <c r="AU7" s="7">
        <f t="shared" si="1"/>
        <v>329.77</v>
      </c>
      <c r="AV7" s="7">
        <f t="shared" ref="AV7:AV17" si="2">AU7*0.95</f>
        <v>313.28149999999999</v>
      </c>
      <c r="AW7" s="6">
        <f t="shared" ref="AW7:AW19" si="3">EDATE(AW6,1)</f>
        <v>46239</v>
      </c>
      <c r="AX7" s="6">
        <f t="shared" ref="AX7:AX19" si="4">EDATE(AX6,1)</f>
        <v>46249</v>
      </c>
      <c r="AY7" s="6">
        <f t="shared" ref="AY7:AY19" si="5">EDATE(AY6,1)</f>
        <v>46259</v>
      </c>
    </row>
    <row r="8" spans="1:51" x14ac:dyDescent="0.3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AP8" s="5">
        <v>4</v>
      </c>
      <c r="AQ8" s="5" t="s">
        <v>14</v>
      </c>
      <c r="AR8" s="4">
        <v>5</v>
      </c>
      <c r="AS8" s="5" t="s">
        <v>15</v>
      </c>
      <c r="AT8" s="6">
        <f t="shared" si="0"/>
        <v>46280</v>
      </c>
      <c r="AU8" s="7">
        <f t="shared" si="1"/>
        <v>329.77</v>
      </c>
      <c r="AV8" s="7">
        <f t="shared" si="2"/>
        <v>313.28149999999999</v>
      </c>
      <c r="AW8" s="6">
        <f t="shared" si="3"/>
        <v>46270</v>
      </c>
      <c r="AX8" s="6">
        <f t="shared" si="4"/>
        <v>46280</v>
      </c>
      <c r="AY8" s="6">
        <f t="shared" si="5"/>
        <v>46290</v>
      </c>
    </row>
    <row r="9" spans="1:51" ht="45" customHeight="1" x14ac:dyDescent="0.3">
      <c r="A9" s="231" t="s">
        <v>16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12"/>
      <c r="AO9" s="6">
        <v>46142</v>
      </c>
      <c r="AP9" s="5">
        <v>5</v>
      </c>
      <c r="AQ9" s="5" t="s">
        <v>17</v>
      </c>
      <c r="AR9" s="4">
        <v>15</v>
      </c>
      <c r="AT9" s="6">
        <f t="shared" si="0"/>
        <v>46310</v>
      </c>
      <c r="AU9" s="7">
        <f t="shared" si="1"/>
        <v>329.77</v>
      </c>
      <c r="AV9" s="7">
        <f t="shared" si="2"/>
        <v>313.28149999999999</v>
      </c>
      <c r="AW9" s="6">
        <f t="shared" si="3"/>
        <v>46300</v>
      </c>
      <c r="AX9" s="6">
        <f t="shared" si="4"/>
        <v>46310</v>
      </c>
      <c r="AY9" s="6">
        <f t="shared" si="5"/>
        <v>46320</v>
      </c>
    </row>
    <row r="10" spans="1:51" x14ac:dyDescent="0.3">
      <c r="A10" s="13" t="s">
        <v>18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O10" s="6">
        <v>46173</v>
      </c>
      <c r="AP10" s="5">
        <v>6</v>
      </c>
      <c r="AQ10" s="5" t="s">
        <v>19</v>
      </c>
      <c r="AR10" s="4">
        <v>25</v>
      </c>
      <c r="AT10" s="6">
        <f t="shared" si="0"/>
        <v>46341</v>
      </c>
      <c r="AU10" s="7">
        <f t="shared" si="1"/>
        <v>329.77</v>
      </c>
      <c r="AV10" s="7">
        <f t="shared" si="2"/>
        <v>313.28149999999999</v>
      </c>
      <c r="AW10" s="6">
        <f t="shared" si="3"/>
        <v>46331</v>
      </c>
      <c r="AX10" s="6">
        <f t="shared" si="4"/>
        <v>46341</v>
      </c>
      <c r="AY10" s="6">
        <f t="shared" si="5"/>
        <v>46351</v>
      </c>
    </row>
    <row r="11" spans="1:51" x14ac:dyDescent="0.3">
      <c r="A11" t="s">
        <v>20</v>
      </c>
      <c r="AP11" s="5">
        <v>7</v>
      </c>
      <c r="AQ11" s="5" t="s">
        <v>21</v>
      </c>
      <c r="AT11" s="6">
        <f t="shared" si="0"/>
        <v>46371</v>
      </c>
      <c r="AU11" s="7">
        <f t="shared" si="1"/>
        <v>329.77</v>
      </c>
      <c r="AV11" s="7">
        <f t="shared" si="2"/>
        <v>313.28149999999999</v>
      </c>
      <c r="AW11" s="6">
        <f t="shared" si="3"/>
        <v>46361</v>
      </c>
      <c r="AX11" s="6">
        <f t="shared" si="4"/>
        <v>46371</v>
      </c>
      <c r="AY11" s="6">
        <f t="shared" si="5"/>
        <v>46381</v>
      </c>
    </row>
    <row r="12" spans="1:51" x14ac:dyDescent="0.3">
      <c r="A12" t="s">
        <v>22</v>
      </c>
      <c r="Q12" s="1" t="s">
        <v>23</v>
      </c>
      <c r="R12" s="1"/>
      <c r="S12" s="1"/>
      <c r="T12" s="1"/>
      <c r="U12" s="1"/>
      <c r="V12" s="1"/>
      <c r="W12" s="1"/>
      <c r="X12" s="1"/>
      <c r="Y12" s="1"/>
      <c r="Z12" s="1"/>
      <c r="AO12" s="4">
        <v>32</v>
      </c>
      <c r="AP12" s="5">
        <v>8</v>
      </c>
      <c r="AT12" s="6">
        <f t="shared" si="0"/>
        <v>46402</v>
      </c>
      <c r="AU12" s="7">
        <f t="shared" si="1"/>
        <v>329.77</v>
      </c>
      <c r="AV12" s="7">
        <f t="shared" si="2"/>
        <v>313.28149999999999</v>
      </c>
      <c r="AW12" s="6">
        <f t="shared" si="3"/>
        <v>46392</v>
      </c>
      <c r="AX12" s="6">
        <f t="shared" si="4"/>
        <v>46402</v>
      </c>
      <c r="AY12" s="6">
        <f t="shared" si="5"/>
        <v>46412</v>
      </c>
    </row>
    <row r="13" spans="1:51" x14ac:dyDescent="0.3">
      <c r="A13" s="8" t="s">
        <v>24</v>
      </c>
      <c r="B13" s="8"/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Q13" s="3" t="str">
        <f>INDEX([2]Lista!$A$3:$AE$302,MATCH($Q$12,[2]Lista!$C$3:$C$302,0),4)</f>
        <v xml:space="preserve">13-324 Mroczenko </v>
      </c>
      <c r="T13" s="3"/>
      <c r="AO13" s="4">
        <v>58</v>
      </c>
      <c r="AT13" s="6">
        <f t="shared" si="0"/>
        <v>46433</v>
      </c>
      <c r="AU13" s="7">
        <f t="shared" si="1"/>
        <v>329.77</v>
      </c>
      <c r="AV13" s="7">
        <f t="shared" si="2"/>
        <v>313.28149999999999</v>
      </c>
      <c r="AW13" s="6">
        <f t="shared" si="3"/>
        <v>46423</v>
      </c>
      <c r="AX13" s="6">
        <f t="shared" si="4"/>
        <v>46433</v>
      </c>
      <c r="AY13" s="6">
        <f t="shared" si="5"/>
        <v>46443</v>
      </c>
    </row>
    <row r="14" spans="1:51" x14ac:dyDescent="0.3">
      <c r="A14" s="8"/>
      <c r="B14" s="8"/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Q14" s="3" t="str">
        <f>IF(INDEX([2]Lista!$A$3:$AE$302,MATCH($Q$12,[2]Lista!$C$3:$C$302,0),5)&gt;0,_xlfn.CONCAT("ul."," ",INDEX([2]Lista!$A$3:$AE$302,MATCH($Q$12,[2]Lista!$C$3:$C$302,0),5)))</f>
        <v xml:space="preserve">ul. Mroczenko 37 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O14" s="4">
        <v>64</v>
      </c>
      <c r="AT14" s="6">
        <f t="shared" si="0"/>
        <v>46461</v>
      </c>
      <c r="AU14" s="7">
        <f t="shared" si="1"/>
        <v>329.77</v>
      </c>
      <c r="AV14" s="7">
        <f t="shared" si="2"/>
        <v>313.28149999999999</v>
      </c>
      <c r="AW14" s="6">
        <f t="shared" si="3"/>
        <v>46451</v>
      </c>
      <c r="AX14" s="6">
        <f t="shared" si="4"/>
        <v>46461</v>
      </c>
      <c r="AY14" s="6">
        <f t="shared" si="5"/>
        <v>46471</v>
      </c>
    </row>
    <row r="15" spans="1:51" x14ac:dyDescent="0.3">
      <c r="A15" s="8" t="s">
        <v>25</v>
      </c>
      <c r="B15" s="8"/>
      <c r="C15" s="8"/>
      <c r="D15" s="8"/>
      <c r="E15" s="8"/>
      <c r="F15" s="8"/>
      <c r="G15" s="8"/>
      <c r="H15" s="1"/>
      <c r="I15" s="8"/>
      <c r="J15" s="8"/>
      <c r="K15" s="8"/>
      <c r="L15" s="8"/>
      <c r="M15" s="8"/>
      <c r="Q15" s="232">
        <f>INDEX([2]Lista!$A$3:$AE$302,MATCH($Q$12,[2]Lista!$C$3:$C$302,0),6)</f>
        <v>71082412108</v>
      </c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T15" s="6">
        <f t="shared" si="0"/>
        <v>46492</v>
      </c>
      <c r="AU15" s="7">
        <f t="shared" si="1"/>
        <v>329.77</v>
      </c>
      <c r="AV15" s="7">
        <f t="shared" si="2"/>
        <v>313.28149999999999</v>
      </c>
      <c r="AW15" s="6">
        <f t="shared" si="3"/>
        <v>46482</v>
      </c>
      <c r="AX15" s="6">
        <f t="shared" si="4"/>
        <v>46492</v>
      </c>
      <c r="AY15" s="6">
        <f t="shared" si="5"/>
        <v>46502</v>
      </c>
    </row>
    <row r="16" spans="1:51" x14ac:dyDescent="0.3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Q16" s="15" t="s">
        <v>27</v>
      </c>
      <c r="R16" s="3"/>
      <c r="S16" s="3"/>
      <c r="T16" s="3"/>
      <c r="U16" s="3"/>
      <c r="V16" s="3"/>
      <c r="AT16" s="6">
        <f t="shared" si="0"/>
        <v>46522</v>
      </c>
      <c r="AU16" s="7">
        <f t="shared" si="1"/>
        <v>329.77</v>
      </c>
      <c r="AV16" s="7">
        <f t="shared" si="2"/>
        <v>313.28149999999999</v>
      </c>
      <c r="AW16" s="6">
        <f t="shared" si="3"/>
        <v>46512</v>
      </c>
      <c r="AX16" s="6">
        <f t="shared" si="4"/>
        <v>46522</v>
      </c>
      <c r="AY16" s="6">
        <f t="shared" si="5"/>
        <v>46532</v>
      </c>
    </row>
    <row r="17" spans="1:57" x14ac:dyDescent="0.3">
      <c r="A17" s="8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Q17" s="233" t="str">
        <f>INDEX([2]Lista!$A$3:$AE$302,MATCH($Q$12,[2]Lista!$C$3:$C$302,0),7)</f>
        <v>+48 513 706 571</v>
      </c>
      <c r="R17" s="233" t="e">
        <v>#N/A</v>
      </c>
      <c r="S17" s="233" t="e">
        <v>#N/A</v>
      </c>
      <c r="T17" s="233" t="e">
        <v>#N/A</v>
      </c>
      <c r="U17" s="233" t="e">
        <v>#N/A</v>
      </c>
      <c r="V17" s="233" t="e">
        <v>#N/A</v>
      </c>
      <c r="W17" s="233" t="e">
        <v>#N/A</v>
      </c>
      <c r="X17" s="233" t="e">
        <v>#N/A</v>
      </c>
      <c r="Y17" s="233" t="e">
        <v>#N/A</v>
      </c>
      <c r="Z17" s="233" t="e">
        <v>#N/A</v>
      </c>
      <c r="AA17" s="233" t="e">
        <v>#N/A</v>
      </c>
      <c r="AP17" s="4">
        <v>3</v>
      </c>
      <c r="AQ17" s="4">
        <v>8</v>
      </c>
      <c r="AT17" s="6">
        <f t="shared" si="0"/>
        <v>46553</v>
      </c>
      <c r="AU17" s="7">
        <f t="shared" si="1"/>
        <v>329.77</v>
      </c>
      <c r="AV17" s="7">
        <f t="shared" si="2"/>
        <v>313.28149999999999</v>
      </c>
      <c r="AW17" s="6">
        <f t="shared" si="3"/>
        <v>46543</v>
      </c>
      <c r="AX17" s="6">
        <f t="shared" si="4"/>
        <v>46553</v>
      </c>
      <c r="AY17" s="6">
        <f t="shared" si="5"/>
        <v>46563</v>
      </c>
    </row>
    <row r="18" spans="1:57" x14ac:dyDescent="0.3">
      <c r="A18" s="8" t="s">
        <v>29</v>
      </c>
      <c r="B18" s="8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Q18" s="16" t="str">
        <f>INDEX([2]Lista!$A$3:$AE$302,MATCH($Q$12,[2]Lista!$C$3:$C$302,0),8)</f>
        <v>jastrzebskabarbara09@gmail.com</v>
      </c>
      <c r="R18" s="3"/>
      <c r="S18" s="3"/>
      <c r="T18" s="3"/>
      <c r="U18" s="3"/>
      <c r="V18" s="3"/>
      <c r="AT18" s="6">
        <f t="shared" si="0"/>
        <v>46583</v>
      </c>
      <c r="AU18" s="7">
        <f t="shared" si="1"/>
        <v>329.77</v>
      </c>
      <c r="AV18" s="7">
        <f>AU18*0.95</f>
        <v>313.28149999999999</v>
      </c>
      <c r="AW18" s="6">
        <f t="shared" si="3"/>
        <v>46573</v>
      </c>
      <c r="AX18" s="6">
        <f t="shared" si="4"/>
        <v>46583</v>
      </c>
      <c r="AY18" s="6">
        <f t="shared" si="5"/>
        <v>46593</v>
      </c>
    </row>
    <row r="19" spans="1:57" x14ac:dyDescent="0.3">
      <c r="A19" s="13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AT19" s="6">
        <f t="shared" si="0"/>
        <v>46614</v>
      </c>
      <c r="AU19" s="7">
        <f t="shared" si="1"/>
        <v>329.77</v>
      </c>
      <c r="AV19" s="7">
        <f>AU19*0.95</f>
        <v>313.28149999999999</v>
      </c>
      <c r="AW19" s="6">
        <f t="shared" si="3"/>
        <v>46604</v>
      </c>
      <c r="AX19" s="6">
        <f t="shared" si="4"/>
        <v>46614</v>
      </c>
      <c r="AY19" s="6">
        <f t="shared" si="5"/>
        <v>46624</v>
      </c>
    </row>
    <row r="20" spans="1:57" x14ac:dyDescent="0.3">
      <c r="A20" s="13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57" x14ac:dyDescent="0.3">
      <c r="A21" s="18" t="s">
        <v>31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AZ21" s="4">
        <f>DATEDIF(N59,N60,"y")</f>
        <v>0</v>
      </c>
      <c r="BA21" s="4">
        <f>IF(DATEDIF(N59,N60,"md")&gt;0,DATEDIF(N59,N60,"ym")+1,DATEDIF(N59,N60,"ym"))</f>
        <v>9</v>
      </c>
      <c r="BB21" s="4">
        <f>DATEDIF(N59,N60,"md")</f>
        <v>21</v>
      </c>
      <c r="BC21" s="4">
        <f ca="1">BC23-BC22</f>
        <v>-23</v>
      </c>
    </row>
    <row r="22" spans="1:57" x14ac:dyDescent="0.3">
      <c r="A22" s="19" t="s">
        <v>32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Q22" s="20" t="str">
        <f>INDEX([2]Lista!$A$3:$AE$302,MATCH($Q$12,[2]Lista!$C$3:$C$302,0),9)</f>
        <v>Klaudia Jastrzębska</v>
      </c>
      <c r="R22" s="3"/>
      <c r="S22" s="3"/>
      <c r="T22" s="3"/>
      <c r="U22" s="3"/>
      <c r="AU22" s="6">
        <f>EOMONTH(S30,0)</f>
        <v>45930</v>
      </c>
      <c r="AW22" s="4" t="b" cm="1">
        <f t="array" ref="AW22:AW36">$AT$5:$AT$19&gt;=EOMONTH(S30,-2)</f>
        <v>1</v>
      </c>
      <c r="BC22" s="4">
        <f ca="1">DAY(BB23)</f>
        <v>29</v>
      </c>
      <c r="BE22" s="4">
        <f ca="1">DAY(TODAY())</f>
        <v>29</v>
      </c>
    </row>
    <row r="23" spans="1:57" x14ac:dyDescent="0.3">
      <c r="A23" s="19" t="s">
        <v>33</v>
      </c>
      <c r="B23" s="19"/>
      <c r="C23" s="19"/>
      <c r="D23" s="19"/>
      <c r="G23" s="19"/>
      <c r="H23" s="19"/>
      <c r="I23" s="19"/>
      <c r="J23" s="19"/>
      <c r="K23" s="19"/>
      <c r="L23" s="19"/>
      <c r="M23" s="19"/>
      <c r="Q23" s="234">
        <f>INDEX([2]Lista!$A$3:$AE$302,MATCH($Q$12,[2]Lista!$C$3:$C$302,0),10)</f>
        <v>17</v>
      </c>
      <c r="R23" s="234" t="e">
        <v>#N/A</v>
      </c>
      <c r="S23" s="21"/>
      <c r="T23" s="3"/>
      <c r="U23" s="3"/>
      <c r="Z23" s="19" t="s">
        <v>34</v>
      </c>
      <c r="AC23" s="234" t="str">
        <f>IF(OR(INDEX([2]Lista!$A$3:$AE$302,MATCH($Q$12,[2]Lista!$C$3:$C$302,0),11)=[2]Lista!$K$10,INDEX([2]Lista!$A$3:$AE$302,MATCH($Q$12,[2]Lista!$C$3:$C$302,0),11)=[2]Lista!$K$13),AO5,IF(INDEX([2]Lista!$A$3:$AE$302,MATCH($Q$12,[2]Lista!$C$3:$C$302,0),11)=[2]Lista!$K$5,"P",""))</f>
        <v>S</v>
      </c>
      <c r="AD23" s="234"/>
      <c r="AF23" s="19" t="s">
        <v>35</v>
      </c>
      <c r="AJ23" s="22">
        <f>INDEX([2]Lista!$A$3:$AE$302,MATCH($Q$12,[2]Lista!$C$3:$C$302,0),12)</f>
        <v>3</v>
      </c>
      <c r="AK23" s="21"/>
      <c r="AL23" s="23" t="str">
        <f>IF(AND(AC23=AO6,AJ23=AP12),"E",IF((OR(AND(AC23=AO5,OR(AJ23=AP8,AJ23=AP9)))),"E",""))</f>
        <v/>
      </c>
      <c r="AM23" s="24"/>
      <c r="AO23" s="25">
        <f>WEEKDAY(S30)</f>
        <v>2</v>
      </c>
      <c r="AW23" s="4" t="b">
        <v>1</v>
      </c>
      <c r="BB23" s="6">
        <f ca="1">TODAY()</f>
        <v>46202</v>
      </c>
      <c r="BC23" s="4">
        <f ca="1">MONTH(BB23)</f>
        <v>6</v>
      </c>
      <c r="BE23" s="4">
        <f ca="1">MONTH(TODAY())</f>
        <v>6</v>
      </c>
    </row>
    <row r="24" spans="1:57" ht="15" customHeight="1" x14ac:dyDescent="0.3">
      <c r="A24" t="s">
        <v>36</v>
      </c>
      <c r="B24" s="24" t="s">
        <v>37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W24" s="4" t="b">
        <v>1</v>
      </c>
      <c r="BE24" s="4" t="b">
        <f ca="1">(DAY(TODAY())&gt;5)</f>
        <v>1</v>
      </c>
    </row>
    <row r="25" spans="1:57" x14ac:dyDescent="0.3">
      <c r="B25" s="24" t="s">
        <v>38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T25" s="4" cm="1">
        <f t="array" aca="1" ref="AT25" ca="1">_xlfn.SINGLE(IF(AT5:AT15&gt;=TODAY(),1,0))</f>
        <v>0</v>
      </c>
      <c r="AU25" s="4" t="b" cm="1">
        <f t="array" aca="1" ref="AU25" ca="1">AND($AT$5:$AT$15&gt;=TODAY(),$AT$5:$AT$15&gt;=EOMONTH(TODAY(),0))</f>
        <v>0</v>
      </c>
      <c r="AV25" s="4" cm="1">
        <f t="array" aca="1" ref="AV25" ca="1">MATCH(TRUE,AT5:AT15&gt;=TODAY(),0)</f>
        <v>2</v>
      </c>
      <c r="AW25" s="4" t="b">
        <v>1</v>
      </c>
      <c r="AZ25" s="26"/>
      <c r="BA25" s="4">
        <f>MONTH(N60)+3</f>
        <v>9</v>
      </c>
      <c r="BE25" s="4">
        <f ca="1">YEAR(TODAY())</f>
        <v>2026</v>
      </c>
    </row>
    <row r="26" spans="1:57" x14ac:dyDescent="0.3">
      <c r="T26" s="27" t="s">
        <v>39</v>
      </c>
      <c r="AM26" s="28"/>
      <c r="AO26" s="29">
        <f>IF(AND(COUNTIF(AS5:AS7,O39)&gt;0,OR(AN30="Maturalny",AN30="Ósmoklasisty",AND(AC23="s",AJ23&gt;=4), AND(AC23="P",AJ23&gt;=8))),AO12,IF(COUNTIF(AS5:AS7,O39)&gt;0, AO13, AO14))</f>
        <v>32</v>
      </c>
      <c r="AU26" s="4" t="b" cm="1">
        <f t="array" aca="1" ref="AU26" ca="1">AND($AT$5:$AT$15&gt;=TODAY(),$AT$5:$AT$15&gt;=EOMONTH(TODAY(),0))</f>
        <v>0</v>
      </c>
      <c r="AW26" s="4" t="b">
        <v>1</v>
      </c>
      <c r="AZ26" s="26"/>
      <c r="BE26" s="30" t="b">
        <f ca="1">IF(AND(DAY(TODAY())&gt;5,(DAY(TODAY()))&lt;=15),DATE(YEAR(TODAY()),MONTH(TODAY()),15))</f>
        <v>0</v>
      </c>
    </row>
    <row r="27" spans="1:57" ht="15" customHeight="1" x14ac:dyDescent="0.3">
      <c r="A27" s="17" t="s">
        <v>40</v>
      </c>
      <c r="B27" s="229" t="s">
        <v>41</v>
      </c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8"/>
      <c r="AO27" s="4">
        <f>IF(AND(OR(O39=AS5,O39=AS6,O39=AS7),OR(AN30="Maturalny",AN30="Ósmoklasisty",AND(AC23="s",AJ23&lt;&gt;4),AND(AC23="P",AJ23&lt;AP12))),IF(AND(OR(O39=AS5,O39=AS6,O39=AS7),OR(AN30="Maturalny",AN30="Ósmoklasisty",AND(AC23="s",AJ23=4),AND(AC23="P",AJ23&gt;=8))),AO12,AO14),AO13)</f>
        <v>32</v>
      </c>
      <c r="AU27" s="4" t="b" cm="1">
        <f t="array" aca="1" ref="AU27" ca="1">AND($AT$5:$AT$15&gt;=TODAY(),$AT$5:$AT$15&gt;=EOMONTH(TODAY(),0))</f>
        <v>0</v>
      </c>
      <c r="AW27" s="4" t="b">
        <v>1</v>
      </c>
      <c r="AZ27" s="26"/>
      <c r="BE27" s="30" t="str">
        <f ca="1">BE25&amp;-BE23&amp;-BE22</f>
        <v>2026-6-29</v>
      </c>
    </row>
    <row r="28" spans="1:57" x14ac:dyDescent="0.3"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O28" s="4">
        <f>IF(AND(OR(O39=AS5,O39=AS6,O39=AS7),OR(AN30="Maturalny",AN30="Ósmoklasisty",AND(AC23="s",AJ23&gt;=4),AND(AC23="P",AJ23&gt;=8))),AO12,AO13)</f>
        <v>32</v>
      </c>
      <c r="AU28" s="4" t="b" cm="1">
        <f t="array" aca="1" ref="AU28" ca="1">AND($AT$5:$AT$15&gt;=TODAY(),$AT$5:$AT$15&gt;=EOMONTH(TODAY(),0))</f>
        <v>0</v>
      </c>
      <c r="AW28" s="4" t="b">
        <v>1</v>
      </c>
      <c r="AZ28" s="26"/>
      <c r="BE28" s="6">
        <f ca="1">DATE(BE25,BE23,BE22)</f>
        <v>46202</v>
      </c>
    </row>
    <row r="29" spans="1:57" x14ac:dyDescent="0.3">
      <c r="B29" s="31" t="s">
        <v>42</v>
      </c>
      <c r="C29" s="15" t="s">
        <v>3</v>
      </c>
      <c r="AO29" s="4" t="b">
        <f>OR(AN30="Maturalny",AN30="Ósmoklasisty",AND(AC23="s",AJ23&gt;=4),AND(AC23="P",AJ23&gt;=8))</f>
        <v>1</v>
      </c>
      <c r="AU29" s="4" t="b" cm="1">
        <f t="array" aca="1" ref="AU29" ca="1">AND($AT$5:$AT$15&gt;=TODAY(),$AT$5:$AT$15&gt;=EOMONTH(TODAY(),0))</f>
        <v>0</v>
      </c>
      <c r="AW29" s="4" t="b">
        <v>1</v>
      </c>
    </row>
    <row r="30" spans="1:57" ht="15" customHeight="1" x14ac:dyDescent="0.3">
      <c r="A30" t="s">
        <v>43</v>
      </c>
      <c r="B30" t="s">
        <v>44</v>
      </c>
      <c r="H30" t="str">
        <f>IF(OR(C29="język angielski",C29="język niemiecki"),"języka obcego trwa od dnia","przedmiotu trwa od dnia")</f>
        <v>języka obcego trwa od dnia</v>
      </c>
      <c r="S30" s="235">
        <v>45915</v>
      </c>
      <c r="T30" s="235"/>
      <c r="U30" s="235"/>
      <c r="V30" s="235"/>
      <c r="W30" s="32" t="s">
        <v>45</v>
      </c>
      <c r="X30" s="3" t="s">
        <v>46</v>
      </c>
      <c r="AA30" s="236">
        <f>IF(OR(AN30="Maturalny",AN30="Ósmoklasisty",AND(AC23=AO5,AJ23=AP8),AND(AC23="P",AJ23=8)),DATE(2026,4,30),DATE(2026,5,30))</f>
        <v>46142</v>
      </c>
      <c r="AB30" s="236"/>
      <c r="AC30" s="236"/>
      <c r="AD30" s="236"/>
      <c r="AE30" s="32" t="s">
        <v>47</v>
      </c>
      <c r="AF30" s="17" t="s">
        <v>48</v>
      </c>
      <c r="AN30" s="33" t="str">
        <f>IF(MATCH($Q$12,[2]Lista!$C$3:$C$302,0)=MATCH($Q$22,[2]Lista!$I$3:$I$302,0),INDEX([2]Lista!$A$3:$AE$302,MATCH($Q$12,[2]Lista!$C$3:$C$302,0),14),)</f>
        <v>Maturalny</v>
      </c>
      <c r="AO30" s="4">
        <f>INDEX([2]Lista!$A$3:$AE$302,MATCH($Q$12,[2]Lista!$C$3:$C$302,0),22)</f>
        <v>33</v>
      </c>
      <c r="AU30" s="4" t="b" cm="1">
        <f t="array" aca="1" ref="AU30" ca="1">AND($AT$5:$AT$15&gt;=TODAY(),$AT$5:$AT$15&gt;=EOMONTH(TODAY(),0))</f>
        <v>0</v>
      </c>
      <c r="AW30" s="4" t="b">
        <v>1</v>
      </c>
    </row>
    <row r="31" spans="1:57" ht="15" customHeight="1" x14ac:dyDescent="0.3">
      <c r="B31" t="s">
        <v>49</v>
      </c>
      <c r="Q31" s="237">
        <f>IF(AA30=DATE(2026,4,30),IF(OR(O39="Ix1",O39="Ix2",O39="Ix3"),29,IF(O39="Z",58,"")),IF(AA30=DATE(2026,5,30),IF(OR(O39="Ix1",O39="Ix2",O39="Ix3"),32,IF(O39="Z",64,"")),""))</f>
        <v>29</v>
      </c>
      <c r="R31" s="237"/>
      <c r="S31" t="str">
        <f>IF(OR(Q31=64,Q31=33),"jednostki lekcyjne.","jednostek lekcyjnych.")</f>
        <v>jednostek lekcyjnych.</v>
      </c>
      <c r="W31" s="13"/>
      <c r="AU31" s="4" t="b" cm="1">
        <f t="array" aca="1" ref="AU31" ca="1">AND($AT$5:$AT$15&gt;=TODAY(),$AT$5:$AT$15&gt;=EOMONTH(TODAY(),0))</f>
        <v>0</v>
      </c>
      <c r="AW31" s="4" t="b">
        <v>1</v>
      </c>
    </row>
    <row r="32" spans="1:57" x14ac:dyDescent="0.3">
      <c r="A32" t="s">
        <v>50</v>
      </c>
      <c r="B32" t="s">
        <v>51</v>
      </c>
      <c r="AW32" s="4" t="b">
        <v>1</v>
      </c>
    </row>
    <row r="33" spans="1:92" ht="15" customHeight="1" x14ac:dyDescent="0.3">
      <c r="B33" s="31" t="s">
        <v>42</v>
      </c>
      <c r="C33" s="238">
        <f>IF(AND(OR(AC23="P",AC23="PP"),AJ23&lt;=3),45,60)</f>
        <v>60</v>
      </c>
      <c r="D33" s="238"/>
      <c r="E33" t="s">
        <v>52</v>
      </c>
      <c r="AM33" s="28"/>
      <c r="AW33" s="4" t="b">
        <v>1</v>
      </c>
    </row>
    <row r="34" spans="1:92" ht="15" customHeight="1" x14ac:dyDescent="0.3">
      <c r="A34" t="s">
        <v>53</v>
      </c>
      <c r="B34" s="229" t="s">
        <v>54</v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8"/>
      <c r="AW34" s="4" t="b">
        <v>1</v>
      </c>
    </row>
    <row r="35" spans="1:92" ht="15" customHeight="1" x14ac:dyDescent="0.3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8"/>
      <c r="AQ35" s="4">
        <f>VLOOKUP(O39,AO40:AR43,2,FALSE)</f>
        <v>140</v>
      </c>
      <c r="AW35" s="4" t="b">
        <v>1</v>
      </c>
    </row>
    <row r="36" spans="1:92" ht="15" customHeight="1" x14ac:dyDescent="0.3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W36" s="4" t="b">
        <v>1</v>
      </c>
      <c r="BM36" s="4" t="s">
        <v>15</v>
      </c>
      <c r="BN36" s="4">
        <f>MATCH(BM36,BM40:BM43,0)</f>
        <v>4</v>
      </c>
      <c r="BO36" s="4">
        <f>INDEX(BN40:CE43,MATCH(BM36,BM40:BM43,0),MATCH(BM37,BN39:CE39,0))</f>
        <v>45</v>
      </c>
    </row>
    <row r="37" spans="1:92" x14ac:dyDescent="0.3">
      <c r="T37" s="34" t="s">
        <v>55</v>
      </c>
      <c r="AN37" s="35">
        <v>0.08</v>
      </c>
      <c r="AO37" s="36" t="s">
        <v>56</v>
      </c>
      <c r="AT37" s="4" t="s">
        <v>57</v>
      </c>
      <c r="BM37" s="4" t="s">
        <v>58</v>
      </c>
      <c r="BN37" s="4">
        <f>MATCH(BM37,BN39:CE39,0)</f>
        <v>2</v>
      </c>
    </row>
    <row r="38" spans="1:92" x14ac:dyDescent="0.3">
      <c r="A38" s="17" t="s">
        <v>40</v>
      </c>
      <c r="B38" t="s">
        <v>59</v>
      </c>
      <c r="S38" s="239">
        <f>Q31</f>
        <v>29</v>
      </c>
      <c r="T38" s="239"/>
      <c r="U38" s="239"/>
      <c r="V38" t="str">
        <f>IF(OR(Q31=64,Q31=33),"jednostki lekcyjne, ze stawką podstawową","jednostek lekcyjnych, ze stawką podstawową")</f>
        <v>jednostek lekcyjnych, ze stawką podstawową</v>
      </c>
      <c r="AN38" s="36">
        <f>B39-(B39*AN37)</f>
        <v>128.80000000000001</v>
      </c>
      <c r="AO38" s="4" t="s">
        <v>60</v>
      </c>
      <c r="AP38" s="240" t="s">
        <v>61</v>
      </c>
      <c r="AQ38" s="240"/>
      <c r="AR38" s="240"/>
      <c r="AT38" s="4" t="s">
        <v>60</v>
      </c>
      <c r="AU38" s="4" t="s">
        <v>61</v>
      </c>
    </row>
    <row r="39" spans="1:92" x14ac:dyDescent="0.3">
      <c r="B39" s="241">
        <f>VLOOKUP(O39,AO40:AR43,2,FALSE)</f>
        <v>140</v>
      </c>
      <c r="C39" s="241"/>
      <c r="D39" s="241"/>
      <c r="E39" s="241"/>
      <c r="F39" s="17" t="s">
        <v>62</v>
      </c>
      <c r="O39" s="38" t="str">
        <f>INDEX([2]Lista!$A$3:$AE$302,MATCH($Q$12,[2]Lista!$C$3:$C$302,0),21)</f>
        <v>Ix1</v>
      </c>
      <c r="AM39" s="28"/>
      <c r="AN39" s="4">
        <f>IF(AND(J41,J42=1),B39,IF(J42=2,_xlfn.XLOOKUP(B39,AP40:AP43,AV40:AV43,,0,1),IF(J42=3,_xlfn.XLOOKUP(B39,AP40:AP43,AW40:AW43,,0,1),_xlfn.XLOOKUP(B39,AP40:AP43,AU40:AU43,,0,1))))</f>
        <v>140</v>
      </c>
      <c r="AO39" s="39"/>
      <c r="AP39" s="40">
        <v>1</v>
      </c>
      <c r="AQ39" s="40">
        <v>2</v>
      </c>
      <c r="AR39" s="40" t="s">
        <v>63</v>
      </c>
      <c r="AT39" s="39"/>
      <c r="AU39" s="40">
        <v>1</v>
      </c>
      <c r="AV39" s="40">
        <v>2</v>
      </c>
      <c r="AW39" s="40" t="s">
        <v>63</v>
      </c>
      <c r="AY39" s="41" t="s">
        <v>64</v>
      </c>
      <c r="AZ39" s="41" t="s">
        <v>64</v>
      </c>
      <c r="BA39" s="41" t="s">
        <v>64</v>
      </c>
      <c r="BB39" s="41" t="s">
        <v>65</v>
      </c>
      <c r="BC39" s="41" t="s">
        <v>65</v>
      </c>
      <c r="BD39" s="41" t="s">
        <v>65</v>
      </c>
      <c r="BE39" s="41" t="s">
        <v>65</v>
      </c>
      <c r="BF39" s="41" t="s">
        <v>65</v>
      </c>
      <c r="BG39" s="41" t="s">
        <v>65</v>
      </c>
      <c r="BJ39" s="42" t="s">
        <v>65</v>
      </c>
      <c r="BK39" s="42" t="s">
        <v>65</v>
      </c>
      <c r="BL39" s="42" t="s">
        <v>65</v>
      </c>
      <c r="BN39" s="5" t="str">
        <f>_xlfn.CONCAT(AY39,AY40,AY41,AY42,AY43)</f>
        <v>N1NNN</v>
      </c>
      <c r="BO39" s="5" t="str">
        <f t="shared" ref="BO39:BU39" si="6">_xlfn.CONCAT(AZ39,AZ40,AZ41,AZ42,AZ43)</f>
        <v>N2NNN</v>
      </c>
      <c r="BP39" s="5" t="str">
        <f t="shared" si="6"/>
        <v>N3NNN</v>
      </c>
      <c r="BQ39" s="5" t="str">
        <f t="shared" si="6"/>
        <v>T1NNN</v>
      </c>
      <c r="BR39" s="5" t="str">
        <f t="shared" si="6"/>
        <v>T2NNN</v>
      </c>
      <c r="BS39" s="5" t="str">
        <f t="shared" si="6"/>
        <v>T3NNN</v>
      </c>
      <c r="BT39" s="5" t="str">
        <f t="shared" si="6"/>
        <v>T1TNN</v>
      </c>
      <c r="BU39" s="5" t="str">
        <f t="shared" si="6"/>
        <v>T2TNN</v>
      </c>
      <c r="BV39" s="5" t="str">
        <f>_xlfn.CONCAT(BG39,BG40,BG41,BG42,BG43)</f>
        <v>T3TNN</v>
      </c>
      <c r="BW39" s="43" t="str">
        <f>_xlfn.CONCAT(AY51,AY52,AY53,AY54,AY55)</f>
        <v>N1NTN</v>
      </c>
      <c r="BX39" s="43" t="str">
        <f t="shared" ref="BX39:CE39" si="7">_xlfn.CONCAT(AZ51,AZ52,AZ53,AZ54,AZ55)</f>
        <v>N2NTN</v>
      </c>
      <c r="BY39" s="43" t="str">
        <f t="shared" si="7"/>
        <v>N3NTN</v>
      </c>
      <c r="BZ39" s="43" t="str">
        <f t="shared" si="7"/>
        <v>T1NTN</v>
      </c>
      <c r="CA39" s="43" t="str">
        <f t="shared" si="7"/>
        <v>T2NTN</v>
      </c>
      <c r="CB39" s="43" t="str">
        <f t="shared" si="7"/>
        <v>T3NTN</v>
      </c>
      <c r="CC39" s="43" t="str">
        <f t="shared" si="7"/>
        <v>T1TTN</v>
      </c>
      <c r="CD39" s="43" t="str">
        <f t="shared" si="7"/>
        <v>T2TTN</v>
      </c>
      <c r="CE39" s="43" t="str">
        <f t="shared" si="7"/>
        <v>T3TTN</v>
      </c>
      <c r="CF39" s="44" t="str">
        <f>_xlfn.CONCAT(AY62,AY63,AY64,AY65,AY66,AY67,)</f>
        <v>N1NTNL</v>
      </c>
      <c r="CG39" s="44" t="str">
        <f t="shared" ref="CG39:CM39" si="8">_xlfn.CONCAT(AZ62,AZ63,AZ64,AZ65,AZ66,AZ67,)</f>
        <v>N2NTNL</v>
      </c>
      <c r="CH39" s="44" t="str">
        <f t="shared" si="8"/>
        <v>N3NTNL</v>
      </c>
      <c r="CI39" s="44" t="str">
        <f t="shared" si="8"/>
        <v>T1NTNL</v>
      </c>
      <c r="CJ39" s="44" t="str">
        <f t="shared" si="8"/>
        <v>T2NTNL</v>
      </c>
      <c r="CK39" s="44" t="str">
        <f t="shared" si="8"/>
        <v>T3NTNL</v>
      </c>
      <c r="CL39" s="44" t="str">
        <f t="shared" si="8"/>
        <v>T1TTNL</v>
      </c>
      <c r="CM39" s="44" t="str">
        <f t="shared" si="8"/>
        <v>T2TTNL</v>
      </c>
      <c r="CN39" s="44" t="str">
        <f>_xlfn.CONCAT(BG62,BG63,BG64,BG65,BG66,BG67,)</f>
        <v>T3TTNL</v>
      </c>
    </row>
    <row r="40" spans="1:92" x14ac:dyDescent="0.3">
      <c r="A40" t="s">
        <v>66</v>
      </c>
      <c r="B40" t="s">
        <v>67</v>
      </c>
      <c r="AM40" s="28"/>
      <c r="AO40" s="39" t="s">
        <v>4</v>
      </c>
      <c r="AP40" s="45">
        <v>140</v>
      </c>
      <c r="AQ40" s="45">
        <v>134</v>
      </c>
      <c r="AR40" s="45">
        <v>127</v>
      </c>
      <c r="AS40" s="46"/>
      <c r="AT40" s="39">
        <v>1</v>
      </c>
      <c r="AU40" s="47">
        <f>ROUND(AP40*0.9,0)</f>
        <v>126</v>
      </c>
      <c r="AV40" s="47">
        <f>ROUND(AQ40*0.9,0)</f>
        <v>121</v>
      </c>
      <c r="AW40" s="47">
        <f>ROUND(AR40*0.9,0)</f>
        <v>114</v>
      </c>
      <c r="AY40" s="48">
        <v>1</v>
      </c>
      <c r="AZ40" s="48">
        <v>2</v>
      </c>
      <c r="BA40" s="48">
        <v>3</v>
      </c>
      <c r="BB40" s="48">
        <v>1</v>
      </c>
      <c r="BC40" s="48">
        <v>2</v>
      </c>
      <c r="BD40" s="48">
        <v>3</v>
      </c>
      <c r="BE40" s="48">
        <v>1</v>
      </c>
      <c r="BF40" s="48">
        <v>2</v>
      </c>
      <c r="BG40" s="48">
        <v>3</v>
      </c>
      <c r="BJ40" s="49">
        <v>1</v>
      </c>
      <c r="BK40" s="49">
        <v>2</v>
      </c>
      <c r="BL40" s="49">
        <v>3</v>
      </c>
      <c r="BM40" s="39" t="s">
        <v>4</v>
      </c>
      <c r="BN40" s="50">
        <f>AY45</f>
        <v>140</v>
      </c>
      <c r="BO40" s="50">
        <f t="shared" ref="BO40:BV43" si="9">AZ45</f>
        <v>134</v>
      </c>
      <c r="BP40" s="50">
        <f t="shared" si="9"/>
        <v>127</v>
      </c>
      <c r="BQ40" s="50">
        <f t="shared" si="9"/>
        <v>126</v>
      </c>
      <c r="BR40" s="50">
        <f t="shared" si="9"/>
        <v>121</v>
      </c>
      <c r="BS40" s="50">
        <f t="shared" si="9"/>
        <v>114</v>
      </c>
      <c r="BT40" s="50">
        <f t="shared" si="9"/>
        <v>119.69999999999999</v>
      </c>
      <c r="BU40" s="50">
        <f t="shared" si="9"/>
        <v>114.94999999999999</v>
      </c>
      <c r="BV40" s="50">
        <f t="shared" si="9"/>
        <v>108.3</v>
      </c>
      <c r="BW40" s="51">
        <f>AY57</f>
        <v>126</v>
      </c>
      <c r="BX40" s="51">
        <f t="shared" ref="BX40:CE43" si="10">AZ57</f>
        <v>120.60000000000001</v>
      </c>
      <c r="BY40" s="51">
        <f t="shared" si="10"/>
        <v>114.3</v>
      </c>
      <c r="BZ40" s="51">
        <f t="shared" si="10"/>
        <v>113.4</v>
      </c>
      <c r="CA40" s="51">
        <f t="shared" si="10"/>
        <v>108.9</v>
      </c>
      <c r="CB40" s="51">
        <f t="shared" si="10"/>
        <v>102.60000000000001</v>
      </c>
      <c r="CC40" s="51">
        <f t="shared" si="10"/>
        <v>107.73</v>
      </c>
      <c r="CD40" s="51">
        <f t="shared" si="10"/>
        <v>103.455</v>
      </c>
      <c r="CE40" s="51">
        <f t="shared" si="10"/>
        <v>97.47</v>
      </c>
      <c r="CF40" s="52">
        <f>AY69</f>
        <v>133</v>
      </c>
      <c r="CG40" s="52">
        <f t="shared" ref="CG40:CN43" si="11">AZ69</f>
        <v>127.3</v>
      </c>
      <c r="CH40" s="52">
        <f t="shared" si="11"/>
        <v>120.64999999999999</v>
      </c>
      <c r="CI40" s="52">
        <f t="shared" si="11"/>
        <v>119.69999999999999</v>
      </c>
      <c r="CJ40" s="52">
        <f t="shared" si="11"/>
        <v>114.94999999999999</v>
      </c>
      <c r="CK40" s="52">
        <f t="shared" si="11"/>
        <v>108.3</v>
      </c>
      <c r="CL40" s="52">
        <f t="shared" si="11"/>
        <v>113.71499999999999</v>
      </c>
      <c r="CM40" s="52">
        <f t="shared" si="11"/>
        <v>109.20249999999999</v>
      </c>
      <c r="CN40" s="52">
        <f t="shared" si="11"/>
        <v>102.88499999999999</v>
      </c>
    </row>
    <row r="41" spans="1:92" x14ac:dyDescent="0.3">
      <c r="B41" s="53" t="s">
        <v>68</v>
      </c>
      <c r="C41" s="53" t="s">
        <v>57</v>
      </c>
      <c r="D41" s="53"/>
      <c r="E41" s="53"/>
      <c r="F41" s="53"/>
      <c r="G41" s="54"/>
      <c r="H41" s="54"/>
      <c r="I41" s="53"/>
      <c r="J41" s="55" t="str">
        <f>IF(INDEX([2]Lista!$A$3:$AE$302,MATCH($Q$12,[2]Lista!$C$3:$C$302,0),15)=[2]Lista!$O$3,"T","N")</f>
        <v>T</v>
      </c>
      <c r="K41" s="56" t="str">
        <f>_xlfn.CONCAT(J41,J42,J43,J44,J45,I44)</f>
        <v>T1TTNL</v>
      </c>
      <c r="Q41" s="57"/>
      <c r="R41" s="57"/>
      <c r="S41" s="57"/>
      <c r="T41" s="57"/>
      <c r="AM41" s="28"/>
      <c r="AO41" s="39" t="s">
        <v>9</v>
      </c>
      <c r="AP41" s="47">
        <v>112</v>
      </c>
      <c r="AQ41" s="47">
        <v>107</v>
      </c>
      <c r="AR41" s="47">
        <v>102</v>
      </c>
      <c r="AT41" s="39">
        <v>2</v>
      </c>
      <c r="AU41" s="47">
        <f t="shared" ref="AU41:AW42" si="12">ROUND(AP41*0.9,0)</f>
        <v>101</v>
      </c>
      <c r="AV41" s="47">
        <f t="shared" si="12"/>
        <v>96</v>
      </c>
      <c r="AW41" s="47">
        <f t="shared" si="12"/>
        <v>92</v>
      </c>
      <c r="AY41" s="48" t="str">
        <f>IF(AY39="N","N",)</f>
        <v>N</v>
      </c>
      <c r="AZ41" s="48" t="s">
        <v>64</v>
      </c>
      <c r="BA41" s="48" t="s">
        <v>64</v>
      </c>
      <c r="BB41" s="48" t="s">
        <v>64</v>
      </c>
      <c r="BC41" s="48" t="s">
        <v>64</v>
      </c>
      <c r="BD41" s="48" t="s">
        <v>64</v>
      </c>
      <c r="BE41" s="48" t="s">
        <v>65</v>
      </c>
      <c r="BF41" s="48" t="s">
        <v>65</v>
      </c>
      <c r="BG41" s="48" t="s">
        <v>65</v>
      </c>
      <c r="BJ41" s="49" t="s">
        <v>65</v>
      </c>
      <c r="BK41" s="49" t="s">
        <v>65</v>
      </c>
      <c r="BL41" s="49" t="s">
        <v>65</v>
      </c>
      <c r="BM41" s="39" t="s">
        <v>9</v>
      </c>
      <c r="BN41" s="50">
        <f>AY46</f>
        <v>112</v>
      </c>
      <c r="BO41" s="50">
        <f t="shared" si="9"/>
        <v>107</v>
      </c>
      <c r="BP41" s="50">
        <f t="shared" si="9"/>
        <v>102</v>
      </c>
      <c r="BQ41" s="50">
        <f t="shared" si="9"/>
        <v>101</v>
      </c>
      <c r="BR41" s="50">
        <f t="shared" si="9"/>
        <v>96</v>
      </c>
      <c r="BS41" s="50">
        <f t="shared" si="9"/>
        <v>92</v>
      </c>
      <c r="BT41" s="50">
        <f t="shared" si="9"/>
        <v>95.949999999999989</v>
      </c>
      <c r="BU41" s="50">
        <f t="shared" si="9"/>
        <v>91.199999999999989</v>
      </c>
      <c r="BV41" s="50">
        <f t="shared" si="9"/>
        <v>87.399999999999991</v>
      </c>
      <c r="BW41" s="51">
        <f>AY58</f>
        <v>100.8</v>
      </c>
      <c r="BX41" s="51">
        <f t="shared" si="10"/>
        <v>96.3</v>
      </c>
      <c r="BY41" s="51">
        <f t="shared" si="10"/>
        <v>91.8</v>
      </c>
      <c r="BZ41" s="51">
        <f t="shared" si="10"/>
        <v>90.9</v>
      </c>
      <c r="CA41" s="51">
        <f t="shared" si="10"/>
        <v>86.4</v>
      </c>
      <c r="CB41" s="51">
        <f t="shared" si="10"/>
        <v>82.8</v>
      </c>
      <c r="CC41" s="51">
        <f t="shared" si="10"/>
        <v>86.355000000000004</v>
      </c>
      <c r="CD41" s="51">
        <f t="shared" si="10"/>
        <v>82.08</v>
      </c>
      <c r="CE41" s="51">
        <f t="shared" si="10"/>
        <v>78.66</v>
      </c>
      <c r="CF41" s="52">
        <f>AY70</f>
        <v>106.39999999999999</v>
      </c>
      <c r="CG41" s="52">
        <f t="shared" si="11"/>
        <v>101.64999999999999</v>
      </c>
      <c r="CH41" s="52">
        <f t="shared" si="11"/>
        <v>96.899999999999991</v>
      </c>
      <c r="CI41" s="52">
        <f t="shared" si="11"/>
        <v>95.949999999999989</v>
      </c>
      <c r="CJ41" s="52">
        <f t="shared" si="11"/>
        <v>91.199999999999989</v>
      </c>
      <c r="CK41" s="52">
        <f t="shared" si="11"/>
        <v>87.399999999999991</v>
      </c>
      <c r="CL41" s="52">
        <f t="shared" si="11"/>
        <v>91.152499999999989</v>
      </c>
      <c r="CM41" s="52">
        <f t="shared" si="11"/>
        <v>86.639999999999986</v>
      </c>
      <c r="CN41" s="52">
        <f t="shared" si="11"/>
        <v>83.029999999999987</v>
      </c>
    </row>
    <row r="42" spans="1:92" x14ac:dyDescent="0.3">
      <c r="B42" s="53" t="s">
        <v>69</v>
      </c>
      <c r="C42" s="53" t="s">
        <v>70</v>
      </c>
      <c r="D42" s="53"/>
      <c r="E42" s="53"/>
      <c r="F42" s="53"/>
      <c r="G42" s="53"/>
      <c r="H42" s="53"/>
      <c r="I42" s="53"/>
      <c r="J42" s="2">
        <f>INDEX([2]Lista!$A$3:$AE$302,MATCH($Q$12,[2]Lista!$C$3:$C$302,0),16)</f>
        <v>1</v>
      </c>
      <c r="K42" s="58"/>
      <c r="Q42" s="57"/>
      <c r="R42" s="57"/>
      <c r="S42" s="57"/>
      <c r="T42" s="57"/>
      <c r="AM42" s="8"/>
      <c r="AO42" s="39" t="s">
        <v>12</v>
      </c>
      <c r="AP42" s="47">
        <v>80</v>
      </c>
      <c r="AQ42" s="47">
        <v>75</v>
      </c>
      <c r="AR42" s="47">
        <v>70</v>
      </c>
      <c r="AT42" s="39">
        <v>3</v>
      </c>
      <c r="AU42" s="47">
        <f t="shared" si="12"/>
        <v>72</v>
      </c>
      <c r="AV42" s="47">
        <f t="shared" si="12"/>
        <v>68</v>
      </c>
      <c r="AW42" s="47">
        <f t="shared" si="12"/>
        <v>63</v>
      </c>
      <c r="AY42" s="41" t="s">
        <v>64</v>
      </c>
      <c r="AZ42" s="41" t="s">
        <v>64</v>
      </c>
      <c r="BA42" s="41" t="s">
        <v>64</v>
      </c>
      <c r="BB42" s="41" t="s">
        <v>64</v>
      </c>
      <c r="BC42" s="41" t="s">
        <v>64</v>
      </c>
      <c r="BD42" s="41" t="s">
        <v>64</v>
      </c>
      <c r="BE42" s="41" t="s">
        <v>64</v>
      </c>
      <c r="BF42" s="41" t="s">
        <v>64</v>
      </c>
      <c r="BG42" s="41" t="s">
        <v>64</v>
      </c>
      <c r="BJ42" s="42" t="s">
        <v>65</v>
      </c>
      <c r="BK42" s="42" t="s">
        <v>65</v>
      </c>
      <c r="BL42" s="42" t="s">
        <v>65</v>
      </c>
      <c r="BM42" s="39" t="s">
        <v>12</v>
      </c>
      <c r="BN42" s="50">
        <f>AY47</f>
        <v>80</v>
      </c>
      <c r="BO42" s="50">
        <f t="shared" si="9"/>
        <v>75</v>
      </c>
      <c r="BP42" s="50">
        <f t="shared" si="9"/>
        <v>70</v>
      </c>
      <c r="BQ42" s="50">
        <f t="shared" si="9"/>
        <v>72</v>
      </c>
      <c r="BR42" s="50">
        <f t="shared" si="9"/>
        <v>68</v>
      </c>
      <c r="BS42" s="50">
        <f t="shared" si="9"/>
        <v>63</v>
      </c>
      <c r="BT42" s="50">
        <f t="shared" si="9"/>
        <v>68.399999999999991</v>
      </c>
      <c r="BU42" s="50">
        <f t="shared" si="9"/>
        <v>64.599999999999994</v>
      </c>
      <c r="BV42" s="50">
        <f t="shared" si="9"/>
        <v>59.849999999999994</v>
      </c>
      <c r="BW42" s="51">
        <f>AY59</f>
        <v>72</v>
      </c>
      <c r="BX42" s="51">
        <f t="shared" si="10"/>
        <v>67.5</v>
      </c>
      <c r="BY42" s="51">
        <f t="shared" si="10"/>
        <v>63</v>
      </c>
      <c r="BZ42" s="51">
        <f t="shared" si="10"/>
        <v>64.8</v>
      </c>
      <c r="CA42" s="51">
        <f t="shared" si="10"/>
        <v>61.2</v>
      </c>
      <c r="CB42" s="51">
        <f t="shared" si="10"/>
        <v>56.7</v>
      </c>
      <c r="CC42" s="51">
        <f t="shared" si="10"/>
        <v>61.559999999999995</v>
      </c>
      <c r="CD42" s="51">
        <f t="shared" si="10"/>
        <v>58.14</v>
      </c>
      <c r="CE42" s="51">
        <f t="shared" si="10"/>
        <v>53.865000000000002</v>
      </c>
      <c r="CF42" s="52">
        <f>AY71</f>
        <v>76</v>
      </c>
      <c r="CG42" s="52">
        <f t="shared" si="11"/>
        <v>71.25</v>
      </c>
      <c r="CH42" s="52">
        <f t="shared" si="11"/>
        <v>66.5</v>
      </c>
      <c r="CI42" s="52">
        <f t="shared" si="11"/>
        <v>68.399999999999991</v>
      </c>
      <c r="CJ42" s="52">
        <f t="shared" si="11"/>
        <v>64.599999999999994</v>
      </c>
      <c r="CK42" s="52">
        <f t="shared" si="11"/>
        <v>59.849999999999994</v>
      </c>
      <c r="CL42" s="52">
        <f t="shared" si="11"/>
        <v>64.97999999999999</v>
      </c>
      <c r="CM42" s="52">
        <f t="shared" si="11"/>
        <v>61.36999999999999</v>
      </c>
      <c r="CN42" s="52">
        <f t="shared" si="11"/>
        <v>56.857499999999995</v>
      </c>
    </row>
    <row r="43" spans="1:92" x14ac:dyDescent="0.3">
      <c r="A43" s="17"/>
      <c r="B43" s="53" t="s">
        <v>71</v>
      </c>
      <c r="C43" s="53" t="s">
        <v>72</v>
      </c>
      <c r="D43" s="53"/>
      <c r="E43" s="53"/>
      <c r="F43" s="53"/>
      <c r="G43" s="54"/>
      <c r="H43" s="54"/>
      <c r="I43" s="53"/>
      <c r="J43" s="2" t="str">
        <f>IF(INDEX([2]Lista!$A$3:$AE$302,MATCH($Q$12,[2]Lista!$C$3:$C$302,0),17)&gt;0,"T","N")</f>
        <v>T</v>
      </c>
      <c r="K43" s="33" t="str">
        <f>IF(J43="N","",INDEX([2]Lista!$A$3:$AE$302,MATCH($Q$12,[2]Lista!$C$3:$C$302,0),17))</f>
        <v>045</v>
      </c>
      <c r="Q43" s="57"/>
      <c r="R43" s="57"/>
      <c r="S43" s="57"/>
      <c r="T43" s="57"/>
      <c r="AM43" s="8"/>
      <c r="AO43" s="39" t="s">
        <v>15</v>
      </c>
      <c r="AP43" s="47">
        <v>48</v>
      </c>
      <c r="AQ43" s="47">
        <v>45</v>
      </c>
      <c r="AR43" s="47">
        <v>40</v>
      </c>
      <c r="AT43" s="39" t="s">
        <v>73</v>
      </c>
      <c r="AU43" s="47">
        <f>ROUND(AP43*0.9,0)</f>
        <v>43</v>
      </c>
      <c r="AV43" s="47">
        <f>ROUND(AQ43*0.9,0)</f>
        <v>41</v>
      </c>
      <c r="AW43" s="47">
        <f>ROUND(AR43*0.9,0)</f>
        <v>36</v>
      </c>
      <c r="AY43" s="41" t="s">
        <v>64</v>
      </c>
      <c r="AZ43" s="41" t="s">
        <v>64</v>
      </c>
      <c r="BA43" s="41" t="s">
        <v>64</v>
      </c>
      <c r="BB43" s="41" t="s">
        <v>64</v>
      </c>
      <c r="BC43" s="41" t="s">
        <v>64</v>
      </c>
      <c r="BD43" s="41" t="s">
        <v>64</v>
      </c>
      <c r="BE43" s="41" t="s">
        <v>64</v>
      </c>
      <c r="BF43" s="41" t="s">
        <v>64</v>
      </c>
      <c r="BG43" s="41" t="s">
        <v>64</v>
      </c>
      <c r="BJ43" s="42" t="s">
        <v>65</v>
      </c>
      <c r="BK43" s="42" t="s">
        <v>65</v>
      </c>
      <c r="BL43" s="42" t="s">
        <v>65</v>
      </c>
      <c r="BM43" s="39" t="s">
        <v>15</v>
      </c>
      <c r="BN43" s="50">
        <f>AY48</f>
        <v>48</v>
      </c>
      <c r="BO43" s="50">
        <f t="shared" si="9"/>
        <v>45</v>
      </c>
      <c r="BP43" s="50">
        <f t="shared" si="9"/>
        <v>40</v>
      </c>
      <c r="BQ43" s="50">
        <f t="shared" si="9"/>
        <v>43</v>
      </c>
      <c r="BR43" s="50">
        <f t="shared" si="9"/>
        <v>41</v>
      </c>
      <c r="BS43" s="50">
        <f t="shared" si="9"/>
        <v>36</v>
      </c>
      <c r="BT43" s="50">
        <f t="shared" si="9"/>
        <v>40.85</v>
      </c>
      <c r="BU43" s="50">
        <f t="shared" si="9"/>
        <v>38.949999999999996</v>
      </c>
      <c r="BV43" s="50">
        <f t="shared" si="9"/>
        <v>34.199999999999996</v>
      </c>
      <c r="BW43" s="51">
        <f>AY60</f>
        <v>43.2</v>
      </c>
      <c r="BX43" s="51">
        <f t="shared" si="10"/>
        <v>40.5</v>
      </c>
      <c r="BY43" s="51">
        <f t="shared" si="10"/>
        <v>36</v>
      </c>
      <c r="BZ43" s="51">
        <f t="shared" si="10"/>
        <v>38.700000000000003</v>
      </c>
      <c r="CA43" s="51">
        <f t="shared" si="10"/>
        <v>36.9</v>
      </c>
      <c r="CB43" s="51">
        <f t="shared" si="10"/>
        <v>32.4</v>
      </c>
      <c r="CC43" s="51">
        <f t="shared" si="10"/>
        <v>36.765000000000001</v>
      </c>
      <c r="CD43" s="51">
        <f t="shared" si="10"/>
        <v>35.055</v>
      </c>
      <c r="CE43" s="51">
        <f t="shared" si="10"/>
        <v>30.779999999999998</v>
      </c>
      <c r="CF43" s="52">
        <f>AY72</f>
        <v>45.599999999999994</v>
      </c>
      <c r="CG43" s="52">
        <f t="shared" si="11"/>
        <v>42.75</v>
      </c>
      <c r="CH43" s="52">
        <f t="shared" si="11"/>
        <v>38</v>
      </c>
      <c r="CI43" s="52">
        <f t="shared" si="11"/>
        <v>40.85</v>
      </c>
      <c r="CJ43" s="52">
        <f t="shared" si="11"/>
        <v>38.949999999999996</v>
      </c>
      <c r="CK43" s="52">
        <f t="shared" si="11"/>
        <v>34.199999999999996</v>
      </c>
      <c r="CL43" s="52">
        <f t="shared" si="11"/>
        <v>38.807499999999997</v>
      </c>
      <c r="CM43" s="52">
        <f t="shared" si="11"/>
        <v>37.002499999999998</v>
      </c>
      <c r="CN43" s="52">
        <f t="shared" si="11"/>
        <v>32.489999999999995</v>
      </c>
    </row>
    <row r="44" spans="1:92" ht="15" customHeight="1" x14ac:dyDescent="0.3">
      <c r="A44" s="17"/>
      <c r="B44" s="53" t="s">
        <v>74</v>
      </c>
      <c r="C44" s="53" t="s">
        <v>75</v>
      </c>
      <c r="D44" s="53"/>
      <c r="E44" s="53"/>
      <c r="F44" s="53"/>
      <c r="G44" s="53"/>
      <c r="H44" s="53"/>
      <c r="I44" s="59" t="str">
        <f>IF(AND(C44="Zapis Lipiec",J44="T"),"L","")</f>
        <v>L</v>
      </c>
      <c r="J44" s="55" t="str">
        <f>INDEX([2]Lista!$A$3:$AE$302,MATCH($Q$12,[2]Lista!$C$3:$C$302,0),19)</f>
        <v>T</v>
      </c>
      <c r="K44" s="58"/>
      <c r="AM44" s="8"/>
      <c r="AO44" s="60" t="s">
        <v>76</v>
      </c>
      <c r="AP44" s="61">
        <v>0.95</v>
      </c>
      <c r="AQ44" s="62"/>
      <c r="AR44" s="62"/>
      <c r="AT44" s="60"/>
      <c r="AU44" s="62">
        <f>AP44</f>
        <v>0.95</v>
      </c>
      <c r="AV44" s="62"/>
      <c r="AW44" s="62"/>
      <c r="AY44" s="5" t="s">
        <v>77</v>
      </c>
      <c r="AZ44" s="5" t="s">
        <v>78</v>
      </c>
      <c r="BA44" s="5" t="s">
        <v>79</v>
      </c>
      <c r="BB44" s="5" t="s">
        <v>80</v>
      </c>
      <c r="BC44" s="5" t="s">
        <v>81</v>
      </c>
      <c r="BD44" s="5" t="s">
        <v>82</v>
      </c>
      <c r="BE44" s="5" t="s">
        <v>83</v>
      </c>
      <c r="BF44" s="5" t="s">
        <v>84</v>
      </c>
      <c r="BG44" s="5" t="s">
        <v>85</v>
      </c>
    </row>
    <row r="45" spans="1:92" ht="15" customHeight="1" x14ac:dyDescent="0.3">
      <c r="A45" s="17"/>
      <c r="B45" s="53" t="s">
        <v>86</v>
      </c>
      <c r="C45" s="53" t="s">
        <v>87</v>
      </c>
      <c r="D45" s="53"/>
      <c r="E45" s="53"/>
      <c r="F45" s="53"/>
      <c r="G45" s="53"/>
      <c r="H45" s="54"/>
      <c r="I45" s="54"/>
      <c r="J45" s="55" t="s">
        <v>64</v>
      </c>
      <c r="K45" s="63"/>
      <c r="AM45" s="8"/>
      <c r="AO45" s="60">
        <v>1</v>
      </c>
      <c r="AP45" s="64">
        <f t="shared" ref="AP45:AR48" si="13">AP40*$AP$44</f>
        <v>133</v>
      </c>
      <c r="AQ45" s="64">
        <f t="shared" si="13"/>
        <v>127.3</v>
      </c>
      <c r="AR45" s="64">
        <f t="shared" si="13"/>
        <v>120.64999999999999</v>
      </c>
      <c r="AT45" s="60">
        <v>1</v>
      </c>
      <c r="AU45" s="64">
        <f>AU40*$AU$44</f>
        <v>119.69999999999999</v>
      </c>
      <c r="AV45" s="64">
        <f>AV40*$AU$44</f>
        <v>114.94999999999999</v>
      </c>
      <c r="AW45" s="64">
        <f>AW40*$AU$44</f>
        <v>108.3</v>
      </c>
      <c r="AY45" s="50">
        <f>AP40</f>
        <v>140</v>
      </c>
      <c r="AZ45" s="50">
        <f>AQ40</f>
        <v>134</v>
      </c>
      <c r="BA45" s="50">
        <f>AR40</f>
        <v>127</v>
      </c>
      <c r="BB45" s="50">
        <f>AU40</f>
        <v>126</v>
      </c>
      <c r="BC45" s="50">
        <f>AV40</f>
        <v>121</v>
      </c>
      <c r="BD45" s="50">
        <f>AW40</f>
        <v>114</v>
      </c>
      <c r="BE45" s="50">
        <f>AU45</f>
        <v>119.69999999999999</v>
      </c>
      <c r="BF45" s="50">
        <f t="shared" ref="BF45:BG48" si="14">AV45</f>
        <v>114.94999999999999</v>
      </c>
      <c r="BG45" s="50">
        <f t="shared" si="14"/>
        <v>108.3</v>
      </c>
      <c r="BH45" s="65"/>
      <c r="BI45" s="66" t="s">
        <v>88</v>
      </c>
      <c r="BJ45" s="65">
        <f>BE60*$BJ$46</f>
        <v>33.088500000000003</v>
      </c>
      <c r="BK45" s="65">
        <f>BF60*$BJ$46</f>
        <v>31.549500000000002</v>
      </c>
      <c r="BL45" s="65">
        <f>BG60*$BJ$46</f>
        <v>27.701999999999998</v>
      </c>
      <c r="BM45" s="65"/>
      <c r="BN45" s="65"/>
      <c r="BO45" s="65"/>
      <c r="BP45" s="65"/>
    </row>
    <row r="46" spans="1:92" ht="15" customHeight="1" x14ac:dyDescent="0.3">
      <c r="A46" s="17" t="s">
        <v>50</v>
      </c>
      <c r="B46" t="s">
        <v>89</v>
      </c>
      <c r="C46" s="53"/>
      <c r="D46" s="53"/>
      <c r="E46" s="53"/>
      <c r="F46" s="53"/>
      <c r="G46" s="53"/>
      <c r="H46" s="54"/>
      <c r="I46" s="54"/>
      <c r="J46" s="55"/>
      <c r="K46" s="63"/>
      <c r="Q46" s="241">
        <f>INDEX($BN$40:$CN$43,MATCH(O39,$BM$40:$BM$43,0),MATCH($K$41,$BN$39:$CN$39,0))</f>
        <v>113.71499999999999</v>
      </c>
      <c r="R46" s="241"/>
      <c r="S46" s="241"/>
      <c r="T46" s="241"/>
      <c r="AO46" s="60">
        <v>2</v>
      </c>
      <c r="AP46" s="64">
        <f t="shared" si="13"/>
        <v>106.39999999999999</v>
      </c>
      <c r="AQ46" s="64">
        <f t="shared" si="13"/>
        <v>101.64999999999999</v>
      </c>
      <c r="AR46" s="64">
        <f t="shared" si="13"/>
        <v>96.899999999999991</v>
      </c>
      <c r="AT46" s="60">
        <v>2</v>
      </c>
      <c r="AU46" s="64">
        <f t="shared" ref="AU46:AW47" si="15">AU41*$AU$44</f>
        <v>95.949999999999989</v>
      </c>
      <c r="AV46" s="64">
        <f t="shared" si="15"/>
        <v>91.199999999999989</v>
      </c>
      <c r="AW46" s="64">
        <f t="shared" si="15"/>
        <v>87.399999999999991</v>
      </c>
      <c r="AY46" s="50">
        <f t="shared" ref="AY46:BA48" si="16">AP41</f>
        <v>112</v>
      </c>
      <c r="AZ46" s="50">
        <f t="shared" si="16"/>
        <v>107</v>
      </c>
      <c r="BA46" s="50">
        <f t="shared" si="16"/>
        <v>102</v>
      </c>
      <c r="BB46" s="50">
        <f t="shared" ref="BB46:BD48" si="17">AU41</f>
        <v>101</v>
      </c>
      <c r="BC46" s="50">
        <f t="shared" si="17"/>
        <v>96</v>
      </c>
      <c r="BD46" s="50">
        <f t="shared" si="17"/>
        <v>92</v>
      </c>
      <c r="BE46" s="50">
        <f>AU46</f>
        <v>95.949999999999989</v>
      </c>
      <c r="BF46" s="50">
        <f t="shared" si="14"/>
        <v>91.199999999999989</v>
      </c>
      <c r="BG46" s="50">
        <f t="shared" si="14"/>
        <v>87.399999999999991</v>
      </c>
      <c r="BJ46" s="65">
        <v>0.9</v>
      </c>
    </row>
    <row r="47" spans="1:92" x14ac:dyDescent="0.3">
      <c r="A47" s="17" t="s">
        <v>53</v>
      </c>
      <c r="B47" s="229" t="s">
        <v>90</v>
      </c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O47" s="60">
        <v>3</v>
      </c>
      <c r="AP47" s="64">
        <f t="shared" si="13"/>
        <v>76</v>
      </c>
      <c r="AQ47" s="64">
        <f t="shared" si="13"/>
        <v>71.25</v>
      </c>
      <c r="AR47" s="64">
        <f t="shared" si="13"/>
        <v>66.5</v>
      </c>
      <c r="AT47" s="60">
        <v>3</v>
      </c>
      <c r="AU47" s="64">
        <f t="shared" si="15"/>
        <v>68.399999999999991</v>
      </c>
      <c r="AV47" s="64">
        <f t="shared" si="15"/>
        <v>64.599999999999994</v>
      </c>
      <c r="AW47" s="64">
        <f t="shared" si="15"/>
        <v>59.849999999999994</v>
      </c>
      <c r="AY47" s="50">
        <f t="shared" si="16"/>
        <v>80</v>
      </c>
      <c r="AZ47" s="50">
        <f t="shared" si="16"/>
        <v>75</v>
      </c>
      <c r="BA47" s="50">
        <f t="shared" si="16"/>
        <v>70</v>
      </c>
      <c r="BB47" s="50">
        <f t="shared" si="17"/>
        <v>72</v>
      </c>
      <c r="BC47" s="50">
        <f t="shared" si="17"/>
        <v>68</v>
      </c>
      <c r="BD47" s="50">
        <f t="shared" si="17"/>
        <v>63</v>
      </c>
      <c r="BE47" s="50">
        <f>AU47</f>
        <v>68.399999999999991</v>
      </c>
      <c r="BF47" s="50">
        <f t="shared" si="14"/>
        <v>64.599999999999994</v>
      </c>
      <c r="BG47" s="50">
        <f t="shared" si="14"/>
        <v>59.849999999999994</v>
      </c>
      <c r="BI47" s="37" t="s">
        <v>91</v>
      </c>
      <c r="BJ47" s="65">
        <f>BE60*0.95</f>
        <v>34.926749999999998</v>
      </c>
    </row>
    <row r="48" spans="1:92" ht="15.75" customHeight="1" x14ac:dyDescent="0.3">
      <c r="A48" s="17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O48" s="60" t="s">
        <v>73</v>
      </c>
      <c r="AP48" s="64">
        <f t="shared" si="13"/>
        <v>45.599999999999994</v>
      </c>
      <c r="AQ48" s="64">
        <f t="shared" si="13"/>
        <v>42.75</v>
      </c>
      <c r="AR48" s="64">
        <f t="shared" si="13"/>
        <v>38</v>
      </c>
      <c r="AT48" s="60" t="s">
        <v>73</v>
      </c>
      <c r="AU48" s="64">
        <f>AU43*$AU$44</f>
        <v>40.85</v>
      </c>
      <c r="AV48" s="64">
        <f>AV43*$AU$44</f>
        <v>38.949999999999996</v>
      </c>
      <c r="AW48" s="64">
        <f>AW43*$AU$44</f>
        <v>34.199999999999996</v>
      </c>
      <c r="AY48" s="50">
        <f t="shared" si="16"/>
        <v>48</v>
      </c>
      <c r="AZ48" s="50">
        <f t="shared" si="16"/>
        <v>45</v>
      </c>
      <c r="BA48" s="50">
        <f t="shared" si="16"/>
        <v>40</v>
      </c>
      <c r="BB48" s="50">
        <f t="shared" si="17"/>
        <v>43</v>
      </c>
      <c r="BC48" s="50">
        <f t="shared" si="17"/>
        <v>41</v>
      </c>
      <c r="BD48" s="50">
        <f t="shared" si="17"/>
        <v>36</v>
      </c>
      <c r="BE48" s="50">
        <f>AU48</f>
        <v>40.85</v>
      </c>
      <c r="BF48" s="50">
        <f t="shared" si="14"/>
        <v>38.949999999999996</v>
      </c>
      <c r="BG48" s="50">
        <f t="shared" si="14"/>
        <v>34.199999999999996</v>
      </c>
      <c r="BI48" s="67" t="s">
        <v>92</v>
      </c>
      <c r="BJ48" s="68">
        <f>BE57</f>
        <v>107.73</v>
      </c>
      <c r="BK48" s="69"/>
      <c r="BL48" s="69"/>
    </row>
    <row r="49" spans="1:64" x14ac:dyDescent="0.3">
      <c r="A49" s="17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Y49" s="65"/>
      <c r="AZ49" s="65"/>
      <c r="BA49" s="65"/>
      <c r="BB49" s="65"/>
      <c r="BC49" s="65"/>
      <c r="BD49" s="65"/>
      <c r="BE49" s="65"/>
      <c r="BF49" s="65"/>
      <c r="BG49" s="65"/>
      <c r="BI49" s="69">
        <v>33</v>
      </c>
      <c r="BJ49" s="68">
        <f>BJ48*BI49</f>
        <v>3555.09</v>
      </c>
      <c r="BK49" s="69">
        <f>BJ49/BI51</f>
        <v>395.01</v>
      </c>
      <c r="BL49" s="69">
        <f>AY45*BI49/BI51</f>
        <v>513.33333333333337</v>
      </c>
    </row>
    <row r="50" spans="1:64" x14ac:dyDescent="0.3">
      <c r="A50" s="17"/>
      <c r="B50" s="8"/>
      <c r="J50" s="70"/>
      <c r="K50" s="70"/>
      <c r="L50" s="13"/>
      <c r="AO50" s="71">
        <v>158</v>
      </c>
      <c r="AP50" s="72">
        <v>0.9</v>
      </c>
      <c r="AQ50" s="73"/>
      <c r="AR50" s="73"/>
      <c r="AU50" s="72">
        <v>0.9</v>
      </c>
      <c r="AV50" s="73"/>
      <c r="AW50" s="73"/>
      <c r="BI50" s="69">
        <v>1000</v>
      </c>
      <c r="BJ50" s="68">
        <f>BJ49-BI50</f>
        <v>2555.09</v>
      </c>
      <c r="BK50" s="69"/>
      <c r="BL50" s="69"/>
    </row>
    <row r="51" spans="1:64" x14ac:dyDescent="0.3">
      <c r="A51" s="17"/>
      <c r="B51" s="8"/>
      <c r="J51" s="70"/>
      <c r="K51" s="70"/>
      <c r="L51" s="13"/>
      <c r="AM51" s="17"/>
      <c r="AO51" s="73"/>
      <c r="AP51" s="74">
        <f t="shared" ref="AP51:AR54" si="18">AP40*$AP$50</f>
        <v>126</v>
      </c>
      <c r="AQ51" s="74">
        <f t="shared" si="18"/>
        <v>120.60000000000001</v>
      </c>
      <c r="AR51" s="74">
        <f t="shared" si="18"/>
        <v>114.3</v>
      </c>
      <c r="AU51" s="74">
        <f t="shared" ref="AU51:AW54" si="19">AU40*$AU$50</f>
        <v>113.4</v>
      </c>
      <c r="AV51" s="74">
        <f t="shared" si="19"/>
        <v>108.9</v>
      </c>
      <c r="AW51" s="74">
        <f t="shared" si="19"/>
        <v>102.60000000000001</v>
      </c>
      <c r="AX51" s="75">
        <v>45444</v>
      </c>
      <c r="AY51" s="76" t="s">
        <v>64</v>
      </c>
      <c r="AZ51" s="76" t="s">
        <v>64</v>
      </c>
      <c r="BA51" s="76" t="s">
        <v>64</v>
      </c>
      <c r="BB51" s="76" t="s">
        <v>65</v>
      </c>
      <c r="BC51" s="76" t="s">
        <v>65</v>
      </c>
      <c r="BD51" s="76" t="s">
        <v>65</v>
      </c>
      <c r="BE51" s="76" t="s">
        <v>65</v>
      </c>
      <c r="BF51" s="76" t="s">
        <v>65</v>
      </c>
      <c r="BG51" s="76" t="s">
        <v>65</v>
      </c>
      <c r="BI51" s="69">
        <v>9</v>
      </c>
      <c r="BJ51" s="69">
        <f>BJ50/BI51</f>
        <v>283.89888888888891</v>
      </c>
      <c r="BK51" s="69"/>
      <c r="BL51" s="69"/>
    </row>
    <row r="52" spans="1:64" x14ac:dyDescent="0.3">
      <c r="T52" s="34" t="s">
        <v>93</v>
      </c>
      <c r="AO52" s="73"/>
      <c r="AP52" s="74">
        <f t="shared" si="18"/>
        <v>100.8</v>
      </c>
      <c r="AQ52" s="74">
        <f t="shared" si="18"/>
        <v>96.3</v>
      </c>
      <c r="AR52" s="74">
        <f t="shared" si="18"/>
        <v>91.8</v>
      </c>
      <c r="AU52" s="74">
        <f t="shared" si="19"/>
        <v>90.9</v>
      </c>
      <c r="AV52" s="74">
        <f t="shared" si="19"/>
        <v>86.4</v>
      </c>
      <c r="AW52" s="74">
        <f t="shared" si="19"/>
        <v>82.8</v>
      </c>
      <c r="AY52" s="77">
        <v>1</v>
      </c>
      <c r="AZ52" s="77">
        <v>2</v>
      </c>
      <c r="BA52" s="77">
        <v>3</v>
      </c>
      <c r="BB52" s="77">
        <v>1</v>
      </c>
      <c r="BC52" s="77">
        <v>2</v>
      </c>
      <c r="BD52" s="77">
        <v>3</v>
      </c>
      <c r="BE52" s="77">
        <v>1</v>
      </c>
      <c r="BF52" s="77">
        <v>2</v>
      </c>
      <c r="BG52" s="77">
        <v>3</v>
      </c>
    </row>
    <row r="53" spans="1:64" x14ac:dyDescent="0.3">
      <c r="A53" s="78" t="s">
        <v>40</v>
      </c>
      <c r="B53" s="78" t="s">
        <v>94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O53" s="73"/>
      <c r="AP53" s="74">
        <f t="shared" si="18"/>
        <v>72</v>
      </c>
      <c r="AQ53" s="74">
        <f t="shared" si="18"/>
        <v>67.5</v>
      </c>
      <c r="AR53" s="74">
        <f t="shared" si="18"/>
        <v>63</v>
      </c>
      <c r="AU53" s="74">
        <f t="shared" si="19"/>
        <v>64.8</v>
      </c>
      <c r="AV53" s="74">
        <f t="shared" si="19"/>
        <v>61.2</v>
      </c>
      <c r="AW53" s="74">
        <f t="shared" si="19"/>
        <v>56.7</v>
      </c>
      <c r="AY53" s="77" t="str">
        <f>IF(AY51="N","N",)</f>
        <v>N</v>
      </c>
      <c r="AZ53" s="77" t="s">
        <v>64</v>
      </c>
      <c r="BA53" s="77" t="s">
        <v>64</v>
      </c>
      <c r="BB53" s="77" t="s">
        <v>64</v>
      </c>
      <c r="BC53" s="77" t="s">
        <v>64</v>
      </c>
      <c r="BD53" s="77" t="s">
        <v>64</v>
      </c>
      <c r="BE53" s="77" t="s">
        <v>65</v>
      </c>
      <c r="BF53" s="77" t="s">
        <v>65</v>
      </c>
      <c r="BG53" s="77" t="s">
        <v>65</v>
      </c>
    </row>
    <row r="54" spans="1:64" x14ac:dyDescent="0.3">
      <c r="A54" s="57"/>
      <c r="B54" s="13" t="s">
        <v>95</v>
      </c>
      <c r="J54" s="242">
        <f>S38*Q46</f>
        <v>3297.7349999999997</v>
      </c>
      <c r="K54" s="242"/>
      <c r="L54" s="242"/>
      <c r="M54" s="242"/>
      <c r="N54" s="242"/>
      <c r="AO54" s="73"/>
      <c r="AP54" s="74">
        <f t="shared" si="18"/>
        <v>43.2</v>
      </c>
      <c r="AQ54" s="74">
        <f t="shared" si="18"/>
        <v>40.5</v>
      </c>
      <c r="AR54" s="74">
        <f t="shared" si="18"/>
        <v>36</v>
      </c>
      <c r="AU54" s="74">
        <f t="shared" si="19"/>
        <v>38.700000000000003</v>
      </c>
      <c r="AV54" s="74">
        <f t="shared" si="19"/>
        <v>36.9</v>
      </c>
      <c r="AW54" s="74">
        <f t="shared" si="19"/>
        <v>32.4</v>
      </c>
      <c r="AY54" s="76" t="s">
        <v>65</v>
      </c>
      <c r="AZ54" s="76" t="s">
        <v>65</v>
      </c>
      <c r="BA54" s="76" t="s">
        <v>65</v>
      </c>
      <c r="BB54" s="76" t="s">
        <v>65</v>
      </c>
      <c r="BC54" s="76" t="s">
        <v>65</v>
      </c>
      <c r="BD54" s="76" t="s">
        <v>65</v>
      </c>
      <c r="BE54" s="76" t="s">
        <v>65</v>
      </c>
      <c r="BF54" s="76" t="s">
        <v>65</v>
      </c>
      <c r="BG54" s="76" t="s">
        <v>65</v>
      </c>
    </row>
    <row r="55" spans="1:64" x14ac:dyDescent="0.3">
      <c r="B55" s="13" t="s">
        <v>96</v>
      </c>
      <c r="F55" s="1" t="str" cm="1">
        <f t="array" ref="F55">[3]!słownie(J54)</f>
        <v>Trzy tysiące dwieście dziewięćdziesiąt siedem złotych siedemdziesiąt cztery grosze</v>
      </c>
      <c r="AO55" s="73"/>
      <c r="AP55" s="73"/>
      <c r="AQ55" s="73"/>
      <c r="AR55" s="73"/>
      <c r="AU55" s="73"/>
      <c r="AV55" s="73"/>
      <c r="AW55" s="73"/>
      <c r="AY55" s="76" t="s">
        <v>64</v>
      </c>
      <c r="AZ55" s="76" t="s">
        <v>64</v>
      </c>
      <c r="BA55" s="76" t="s">
        <v>64</v>
      </c>
      <c r="BB55" s="76" t="s">
        <v>64</v>
      </c>
      <c r="BC55" s="76" t="s">
        <v>64</v>
      </c>
      <c r="BD55" s="76" t="s">
        <v>64</v>
      </c>
      <c r="BE55" s="76" t="s">
        <v>64</v>
      </c>
      <c r="BF55" s="76" t="s">
        <v>64</v>
      </c>
      <c r="BG55" s="76" t="s">
        <v>64</v>
      </c>
    </row>
    <row r="56" spans="1:64" x14ac:dyDescent="0.3">
      <c r="B56" s="80" t="s">
        <v>97</v>
      </c>
      <c r="C56" s="81" t="s">
        <v>98</v>
      </c>
      <c r="D56" s="63"/>
      <c r="E56" s="63"/>
      <c r="F56" s="63"/>
      <c r="G56" s="63"/>
      <c r="AO56" s="82" t="s">
        <v>76</v>
      </c>
      <c r="AP56" s="72">
        <v>0.95</v>
      </c>
      <c r="AQ56" s="73"/>
      <c r="AR56" s="73"/>
      <c r="AU56" s="72">
        <v>0.95</v>
      </c>
      <c r="AV56" s="73"/>
      <c r="AW56" s="73"/>
      <c r="AY56" s="43" t="s">
        <v>99</v>
      </c>
      <c r="AZ56" s="43" t="s">
        <v>100</v>
      </c>
      <c r="BA56" s="43" t="s">
        <v>101</v>
      </c>
      <c r="BB56" s="43" t="s">
        <v>102</v>
      </c>
      <c r="BC56" s="43" t="s">
        <v>103</v>
      </c>
      <c r="BD56" s="43" t="s">
        <v>104</v>
      </c>
      <c r="BE56" s="43" t="s">
        <v>105</v>
      </c>
      <c r="BF56" s="43" t="s">
        <v>106</v>
      </c>
      <c r="BG56" s="43" t="s">
        <v>107</v>
      </c>
    </row>
    <row r="57" spans="1:64" x14ac:dyDescent="0.3">
      <c r="A57" s="57"/>
      <c r="B57" s="31" t="s">
        <v>42</v>
      </c>
      <c r="C57" s="8" t="s">
        <v>108</v>
      </c>
      <c r="D57" s="83">
        <f>IF(MONTH(N59)=7,MONTH(N60)+6,IF(MONTH(N59)=8,MONTH(N60)+5,IF(MONTH(N59)=9,MONTH(N60)+4,IF(MONTH(N59)=10,MONTH(N60)+3,IF(MONTH(N59)=11,MONTH(N60)+2,IF(MONTH(N59)=12,MONTH(N60)+1,IF(MONTH(N59)=1,MONTH(N60),IF(MONTH(N59)=2,MONTH(N60)-1,IF(MONTH(N59)=3,MONTH(N60)-2,IF(MONTH(N59)=4,MONTH(N60)-3,IF(MONTH(N59)=5,MONTH(N60)-4,0)))))))))))</f>
        <v>10</v>
      </c>
      <c r="E57" s="8" t="s">
        <v>109</v>
      </c>
      <c r="I57" s="243">
        <f>IF(AND(J54="",),"",ROUND((J54/D57),2))</f>
        <v>329.77</v>
      </c>
      <c r="J57" s="243"/>
      <c r="K57" s="243"/>
      <c r="L57" s="243"/>
      <c r="M57" s="8" t="s">
        <v>110</v>
      </c>
      <c r="AO57" s="73">
        <f>AP40*0.855</f>
        <v>119.7</v>
      </c>
      <c r="AP57" s="74">
        <f t="shared" ref="AP57:AR60" si="20">AP51*$AP$56</f>
        <v>119.69999999999999</v>
      </c>
      <c r="AQ57" s="74">
        <f t="shared" si="20"/>
        <v>114.57000000000001</v>
      </c>
      <c r="AR57" s="74">
        <f t="shared" si="20"/>
        <v>108.58499999999999</v>
      </c>
      <c r="AU57" s="74">
        <f>AU51*$AU$56</f>
        <v>107.73</v>
      </c>
      <c r="AV57" s="74">
        <f>AV51*$AU$56</f>
        <v>103.455</v>
      </c>
      <c r="AW57" s="74">
        <f>AW51*$AU$56</f>
        <v>97.47</v>
      </c>
      <c r="AY57" s="51">
        <f>AP51</f>
        <v>126</v>
      </c>
      <c r="AZ57" s="51">
        <f t="shared" ref="AZ57:BA60" si="21">AQ51</f>
        <v>120.60000000000001</v>
      </c>
      <c r="BA57" s="51">
        <f t="shared" si="21"/>
        <v>114.3</v>
      </c>
      <c r="BB57" s="51">
        <f>AU51</f>
        <v>113.4</v>
      </c>
      <c r="BC57" s="51">
        <f t="shared" ref="BC57:BD60" si="22">AV51</f>
        <v>108.9</v>
      </c>
      <c r="BD57" s="51">
        <f t="shared" si="22"/>
        <v>102.60000000000001</v>
      </c>
      <c r="BE57" s="51">
        <f>AU57</f>
        <v>107.73</v>
      </c>
      <c r="BF57" s="51">
        <f t="shared" ref="BF57:BG60" si="23">AV57</f>
        <v>103.455</v>
      </c>
      <c r="BG57" s="51">
        <f t="shared" si="23"/>
        <v>97.47</v>
      </c>
    </row>
    <row r="58" spans="1:64" x14ac:dyDescent="0.3">
      <c r="A58" s="57" t="s">
        <v>43</v>
      </c>
      <c r="B58" s="84" t="s">
        <v>111</v>
      </c>
      <c r="C58" s="85"/>
      <c r="D58" s="86"/>
      <c r="E58" s="85"/>
      <c r="F58" s="87"/>
      <c r="G58" s="87"/>
      <c r="H58" s="87"/>
      <c r="I58" s="88"/>
      <c r="J58" s="88"/>
      <c r="K58" s="89">
        <f>INDEX([2]Lista!$A$3:$AE$302,MATCH($Q$12,[2]Lista!$C$3:$C$302,0),20)</f>
        <v>15</v>
      </c>
      <c r="L58" s="88" t="s">
        <v>112</v>
      </c>
      <c r="M58" s="85" t="s">
        <v>113</v>
      </c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O58" s="73"/>
      <c r="AP58" s="74">
        <f t="shared" si="20"/>
        <v>95.759999999999991</v>
      </c>
      <c r="AQ58" s="74">
        <f t="shared" si="20"/>
        <v>91.484999999999999</v>
      </c>
      <c r="AR58" s="74">
        <f t="shared" si="20"/>
        <v>87.21</v>
      </c>
      <c r="AU58" s="74">
        <f t="shared" ref="AU58:AW60" si="24">AU52*$AU$56</f>
        <v>86.355000000000004</v>
      </c>
      <c r="AV58" s="74">
        <f t="shared" si="24"/>
        <v>82.08</v>
      </c>
      <c r="AW58" s="74">
        <f t="shared" si="24"/>
        <v>78.66</v>
      </c>
      <c r="AY58" s="51">
        <f>AP52</f>
        <v>100.8</v>
      </c>
      <c r="AZ58" s="51">
        <f t="shared" si="21"/>
        <v>96.3</v>
      </c>
      <c r="BA58" s="51">
        <f t="shared" si="21"/>
        <v>91.8</v>
      </c>
      <c r="BB58" s="51">
        <f>AU52</f>
        <v>90.9</v>
      </c>
      <c r="BC58" s="51">
        <f t="shared" si="22"/>
        <v>86.4</v>
      </c>
      <c r="BD58" s="51">
        <f t="shared" si="22"/>
        <v>82.8</v>
      </c>
      <c r="BE58" s="51">
        <f>AU58</f>
        <v>86.355000000000004</v>
      </c>
      <c r="BF58" s="51">
        <f t="shared" si="23"/>
        <v>82.08</v>
      </c>
      <c r="BG58" s="51">
        <f t="shared" si="23"/>
        <v>78.66</v>
      </c>
    </row>
    <row r="59" spans="1:64" x14ac:dyDescent="0.3">
      <c r="A59" s="78" t="s">
        <v>50</v>
      </c>
      <c r="B59" s="90" t="s">
        <v>114</v>
      </c>
      <c r="C59" s="91"/>
      <c r="D59" s="92"/>
      <c r="E59" s="91"/>
      <c r="F59" s="93"/>
      <c r="G59" s="93"/>
      <c r="H59" s="93"/>
      <c r="I59" s="94"/>
      <c r="J59" s="94"/>
      <c r="K59" s="94"/>
      <c r="L59" s="94"/>
      <c r="M59" s="91"/>
      <c r="N59" s="244">
        <f>IF(K58=AR8,EOMONTH(INDEX([2]Lista!$A$3:$AE$302,MATCH($Q$12,[2]Lista!$C$3:$C$302,0),23),-1)+$K$58+20,IF(K58=AR9,EOMONTH(INDEX([2]Lista!$A$3:$AE$302,MATCH($Q$12,[2]Lista!$C$3:$C$302,0),23),-1)+$K$58+10,EOMONTH(INDEX([2]Lista!$A$3:$AE$302,MATCH($Q$12,[2]Lista!$C$3:$C$302,0),23),-1)+$K$58))</f>
        <v>45925</v>
      </c>
      <c r="O59" s="245"/>
      <c r="P59" s="245"/>
      <c r="Q59" s="245"/>
      <c r="R59" s="245"/>
      <c r="S59" s="245"/>
      <c r="T59" s="245"/>
      <c r="U59" s="95" t="s">
        <v>45</v>
      </c>
      <c r="V59" s="96" t="s">
        <v>115</v>
      </c>
      <c r="W59" s="97"/>
      <c r="X59" s="97"/>
      <c r="Y59" s="93"/>
      <c r="Z59" s="93"/>
      <c r="AA59" s="98">
        <f>DAY(N60)</f>
        <v>15</v>
      </c>
      <c r="AB59" s="99" t="s">
        <v>112</v>
      </c>
      <c r="AC59" s="98" t="s">
        <v>116</v>
      </c>
      <c r="AD59" s="93"/>
      <c r="AE59" s="93"/>
      <c r="AF59" s="93"/>
      <c r="AG59" s="93"/>
      <c r="AH59" s="93"/>
      <c r="AI59" s="93"/>
      <c r="AJ59" s="93"/>
      <c r="AK59" s="93"/>
      <c r="AL59" s="93"/>
      <c r="AN59" s="4" t="s">
        <v>117</v>
      </c>
      <c r="AO59" s="73"/>
      <c r="AP59" s="74">
        <f t="shared" si="20"/>
        <v>68.399999999999991</v>
      </c>
      <c r="AQ59" s="74">
        <f t="shared" si="20"/>
        <v>64.125</v>
      </c>
      <c r="AR59" s="74">
        <f t="shared" si="20"/>
        <v>59.849999999999994</v>
      </c>
      <c r="AU59" s="74">
        <f t="shared" si="24"/>
        <v>61.559999999999995</v>
      </c>
      <c r="AV59" s="74">
        <f t="shared" si="24"/>
        <v>58.14</v>
      </c>
      <c r="AW59" s="74">
        <f t="shared" si="24"/>
        <v>53.865000000000002</v>
      </c>
      <c r="AY59" s="51">
        <f>AP53</f>
        <v>72</v>
      </c>
      <c r="AZ59" s="51">
        <f t="shared" si="21"/>
        <v>67.5</v>
      </c>
      <c r="BA59" s="51">
        <f t="shared" si="21"/>
        <v>63</v>
      </c>
      <c r="BB59" s="51">
        <f>AU53</f>
        <v>64.8</v>
      </c>
      <c r="BC59" s="51">
        <f t="shared" si="22"/>
        <v>61.2</v>
      </c>
      <c r="BD59" s="51">
        <f t="shared" si="22"/>
        <v>56.7</v>
      </c>
      <c r="BE59" s="51">
        <f>AU59</f>
        <v>61.559999999999995</v>
      </c>
      <c r="BF59" s="51">
        <f t="shared" si="23"/>
        <v>58.14</v>
      </c>
      <c r="BG59" s="51">
        <f t="shared" si="23"/>
        <v>53.865000000000002</v>
      </c>
    </row>
    <row r="60" spans="1:64" ht="15" customHeight="1" x14ac:dyDescent="0.3">
      <c r="A60" s="57"/>
      <c r="B60" s="90" t="s">
        <v>118</v>
      </c>
      <c r="C60" s="91"/>
      <c r="D60" s="92"/>
      <c r="E60" s="91"/>
      <c r="F60" s="93"/>
      <c r="G60" s="93"/>
      <c r="H60" s="93"/>
      <c r="I60" s="94"/>
      <c r="J60" s="94"/>
      <c r="K60" s="94"/>
      <c r="L60" s="94"/>
      <c r="M60" s="91"/>
      <c r="N60" s="244">
        <f>EOMONTH(INDEX([2]Lista!$A$3:$AE$302,MATCH($Q$12,[2]Lista!$C$3:$C$302,0),24),-1)+$K$58</f>
        <v>46188</v>
      </c>
      <c r="O60" s="245"/>
      <c r="P60" s="245"/>
      <c r="Q60" s="245"/>
      <c r="R60" s="245"/>
      <c r="S60" s="245"/>
      <c r="T60" s="245"/>
      <c r="U60" s="95" t="s">
        <v>45</v>
      </c>
      <c r="V60" s="96"/>
      <c r="W60" s="97"/>
      <c r="X60" s="97"/>
      <c r="Y60" s="93"/>
      <c r="Z60" s="93"/>
      <c r="AA60" s="93"/>
      <c r="AB60" s="100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O60" s="73"/>
      <c r="AP60" s="74">
        <f t="shared" si="20"/>
        <v>41.04</v>
      </c>
      <c r="AQ60" s="74">
        <f t="shared" si="20"/>
        <v>38.475000000000001</v>
      </c>
      <c r="AR60" s="74">
        <f t="shared" si="20"/>
        <v>34.199999999999996</v>
      </c>
      <c r="AU60" s="74">
        <f t="shared" si="24"/>
        <v>36.765000000000001</v>
      </c>
      <c r="AV60" s="74">
        <f t="shared" si="24"/>
        <v>35.055</v>
      </c>
      <c r="AW60" s="74">
        <f t="shared" si="24"/>
        <v>30.779999999999998</v>
      </c>
      <c r="AY60" s="51">
        <f>AP54</f>
        <v>43.2</v>
      </c>
      <c r="AZ60" s="51">
        <f t="shared" si="21"/>
        <v>40.5</v>
      </c>
      <c r="BA60" s="51">
        <f t="shared" si="21"/>
        <v>36</v>
      </c>
      <c r="BB60" s="51">
        <f>AU54</f>
        <v>38.700000000000003</v>
      </c>
      <c r="BC60" s="51">
        <f t="shared" si="22"/>
        <v>36.9</v>
      </c>
      <c r="BD60" s="51">
        <f t="shared" si="22"/>
        <v>32.4</v>
      </c>
      <c r="BE60" s="51">
        <f>AU60</f>
        <v>36.765000000000001</v>
      </c>
      <c r="BF60" s="51">
        <f t="shared" si="23"/>
        <v>35.055</v>
      </c>
      <c r="BG60" s="51">
        <f t="shared" si="23"/>
        <v>30.779999999999998</v>
      </c>
    </row>
    <row r="61" spans="1:64" x14ac:dyDescent="0.3">
      <c r="A61" s="78" t="s">
        <v>53</v>
      </c>
      <c r="B61" s="246" t="s">
        <v>119</v>
      </c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O61" s="73"/>
      <c r="AP61" s="74"/>
      <c r="AQ61" s="74"/>
      <c r="AR61" s="74"/>
      <c r="AU61" s="74"/>
      <c r="AV61" s="74"/>
      <c r="AW61" s="74"/>
      <c r="AY61" s="65"/>
      <c r="AZ61" s="65"/>
      <c r="BA61" s="65"/>
      <c r="BB61" s="65"/>
      <c r="BC61" s="65"/>
      <c r="BD61" s="65"/>
      <c r="BE61" s="65"/>
      <c r="BF61" s="65"/>
      <c r="BG61" s="65"/>
    </row>
    <row r="62" spans="1:64" ht="15" customHeight="1" x14ac:dyDescent="0.3"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X62" s="101">
        <v>45474</v>
      </c>
      <c r="AY62" s="102" t="s">
        <v>64</v>
      </c>
      <c r="AZ62" s="102" t="s">
        <v>64</v>
      </c>
      <c r="BA62" s="102" t="s">
        <v>64</v>
      </c>
      <c r="BB62" s="102" t="s">
        <v>65</v>
      </c>
      <c r="BC62" s="102" t="s">
        <v>65</v>
      </c>
      <c r="BD62" s="102" t="s">
        <v>65</v>
      </c>
      <c r="BE62" s="102" t="s">
        <v>65</v>
      </c>
      <c r="BF62" s="102" t="s">
        <v>65</v>
      </c>
      <c r="BG62" s="102" t="s">
        <v>65</v>
      </c>
    </row>
    <row r="63" spans="1:64" ht="30.75" customHeight="1" x14ac:dyDescent="0.3"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O63" s="103">
        <v>188</v>
      </c>
      <c r="AP63" s="104">
        <v>0.95</v>
      </c>
      <c r="AQ63" s="43"/>
      <c r="AR63" s="43"/>
      <c r="AU63" s="104">
        <f>AP63</f>
        <v>0.95</v>
      </c>
      <c r="AV63" s="43"/>
      <c r="AW63" s="43"/>
      <c r="AX63" s="44"/>
      <c r="AY63" s="105">
        <v>1</v>
      </c>
      <c r="AZ63" s="105">
        <v>2</v>
      </c>
      <c r="BA63" s="105">
        <v>3</v>
      </c>
      <c r="BB63" s="105">
        <v>1</v>
      </c>
      <c r="BC63" s="105">
        <v>2</v>
      </c>
      <c r="BD63" s="105">
        <v>3</v>
      </c>
      <c r="BE63" s="105">
        <v>1</v>
      </c>
      <c r="BF63" s="105">
        <v>2</v>
      </c>
      <c r="BG63" s="105">
        <v>3</v>
      </c>
    </row>
    <row r="64" spans="1:64" ht="15" customHeight="1" x14ac:dyDescent="0.3"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O64" s="43"/>
      <c r="AP64" s="106">
        <f t="shared" ref="AP64:AR67" si="25">AP40*$AP$63</f>
        <v>133</v>
      </c>
      <c r="AQ64" s="106">
        <f t="shared" si="25"/>
        <v>127.3</v>
      </c>
      <c r="AR64" s="106">
        <f t="shared" si="25"/>
        <v>120.64999999999999</v>
      </c>
      <c r="AU64" s="106">
        <f t="shared" ref="AU64:AW67" si="26">AU40*$AU$63</f>
        <v>119.69999999999999</v>
      </c>
      <c r="AV64" s="106">
        <f t="shared" si="26"/>
        <v>114.94999999999999</v>
      </c>
      <c r="AW64" s="106">
        <f t="shared" si="26"/>
        <v>108.3</v>
      </c>
      <c r="AX64" s="44"/>
      <c r="AY64" s="105" t="str">
        <f>IF(AY62="N","N",)</f>
        <v>N</v>
      </c>
      <c r="AZ64" s="105" t="s">
        <v>64</v>
      </c>
      <c r="BA64" s="105" t="s">
        <v>64</v>
      </c>
      <c r="BB64" s="105" t="s">
        <v>64</v>
      </c>
      <c r="BC64" s="105" t="s">
        <v>64</v>
      </c>
      <c r="BD64" s="105" t="s">
        <v>64</v>
      </c>
      <c r="BE64" s="105" t="s">
        <v>65</v>
      </c>
      <c r="BF64" s="105" t="s">
        <v>65</v>
      </c>
      <c r="BG64" s="105" t="s">
        <v>65</v>
      </c>
    </row>
    <row r="65" spans="1:59" ht="15" customHeight="1" x14ac:dyDescent="0.3">
      <c r="A65" s="17" t="s">
        <v>120</v>
      </c>
      <c r="B65" s="13" t="s">
        <v>121</v>
      </c>
      <c r="AO65" s="43"/>
      <c r="AP65" s="106">
        <f t="shared" si="25"/>
        <v>106.39999999999999</v>
      </c>
      <c r="AQ65" s="106">
        <f t="shared" si="25"/>
        <v>101.64999999999999</v>
      </c>
      <c r="AR65" s="106">
        <f t="shared" si="25"/>
        <v>96.899999999999991</v>
      </c>
      <c r="AU65" s="106">
        <f t="shared" si="26"/>
        <v>95.949999999999989</v>
      </c>
      <c r="AV65" s="106">
        <f t="shared" si="26"/>
        <v>91.199999999999989</v>
      </c>
      <c r="AW65" s="106">
        <f t="shared" si="26"/>
        <v>87.399999999999991</v>
      </c>
      <c r="AX65" s="44"/>
      <c r="AY65" s="102" t="s">
        <v>65</v>
      </c>
      <c r="AZ65" s="102" t="s">
        <v>65</v>
      </c>
      <c r="BA65" s="102" t="s">
        <v>65</v>
      </c>
      <c r="BB65" s="102" t="s">
        <v>65</v>
      </c>
      <c r="BC65" s="102" t="s">
        <v>65</v>
      </c>
      <c r="BD65" s="102" t="s">
        <v>65</v>
      </c>
      <c r="BE65" s="102" t="s">
        <v>65</v>
      </c>
      <c r="BF65" s="102" t="s">
        <v>65</v>
      </c>
      <c r="BG65" s="102" t="s">
        <v>65</v>
      </c>
    </row>
    <row r="66" spans="1:59" ht="15" customHeight="1" x14ac:dyDescent="0.3">
      <c r="B66" s="13" t="s">
        <v>122</v>
      </c>
      <c r="AO66" s="43"/>
      <c r="AP66" s="106">
        <f t="shared" si="25"/>
        <v>76</v>
      </c>
      <c r="AQ66" s="106">
        <f t="shared" si="25"/>
        <v>71.25</v>
      </c>
      <c r="AR66" s="106">
        <f t="shared" si="25"/>
        <v>66.5</v>
      </c>
      <c r="AU66" s="106">
        <f t="shared" si="26"/>
        <v>68.399999999999991</v>
      </c>
      <c r="AV66" s="106">
        <f t="shared" si="26"/>
        <v>64.599999999999994</v>
      </c>
      <c r="AW66" s="106">
        <f t="shared" si="26"/>
        <v>59.849999999999994</v>
      </c>
      <c r="AX66" s="44"/>
      <c r="AY66" s="102" t="s">
        <v>64</v>
      </c>
      <c r="AZ66" s="102" t="s">
        <v>64</v>
      </c>
      <c r="BA66" s="102" t="s">
        <v>64</v>
      </c>
      <c r="BB66" s="102" t="s">
        <v>64</v>
      </c>
      <c r="BC66" s="102" t="s">
        <v>64</v>
      </c>
      <c r="BD66" s="102" t="s">
        <v>64</v>
      </c>
      <c r="BE66" s="102" t="s">
        <v>64</v>
      </c>
      <c r="BF66" s="102" t="s">
        <v>64</v>
      </c>
      <c r="BG66" s="102" t="s">
        <v>64</v>
      </c>
    </row>
    <row r="67" spans="1:59" ht="15" customHeight="1" x14ac:dyDescent="0.3">
      <c r="A67" t="s">
        <v>123</v>
      </c>
      <c r="B67" s="13" t="s">
        <v>124</v>
      </c>
      <c r="AO67" s="43"/>
      <c r="AP67" s="106">
        <f t="shared" si="25"/>
        <v>45.599999999999994</v>
      </c>
      <c r="AQ67" s="106">
        <f t="shared" si="25"/>
        <v>42.75</v>
      </c>
      <c r="AR67" s="106">
        <f t="shared" si="25"/>
        <v>38</v>
      </c>
      <c r="AU67" s="106">
        <f t="shared" si="26"/>
        <v>40.85</v>
      </c>
      <c r="AV67" s="106">
        <f t="shared" si="26"/>
        <v>38.949999999999996</v>
      </c>
      <c r="AW67" s="106">
        <f t="shared" si="26"/>
        <v>34.199999999999996</v>
      </c>
      <c r="AX67" s="44"/>
      <c r="AY67" s="102" t="s">
        <v>125</v>
      </c>
      <c r="AZ67" s="102" t="s">
        <v>125</v>
      </c>
      <c r="BA67" s="102" t="s">
        <v>125</v>
      </c>
      <c r="BB67" s="102" t="s">
        <v>125</v>
      </c>
      <c r="BC67" s="102" t="s">
        <v>125</v>
      </c>
      <c r="BD67" s="102" t="s">
        <v>125</v>
      </c>
      <c r="BE67" s="102" t="s">
        <v>125</v>
      </c>
      <c r="BF67" s="102" t="s">
        <v>125</v>
      </c>
      <c r="BG67" s="102" t="s">
        <v>125</v>
      </c>
    </row>
    <row r="68" spans="1:59" x14ac:dyDescent="0.3">
      <c r="B68" s="13" t="s">
        <v>126</v>
      </c>
      <c r="AO68" s="43"/>
      <c r="AP68" s="43"/>
      <c r="AQ68" s="43"/>
      <c r="AR68" s="43"/>
      <c r="AU68" s="43"/>
      <c r="AV68" s="43"/>
      <c r="AW68" s="43"/>
      <c r="AX68" s="44"/>
      <c r="AY68" s="44" t="s">
        <v>127</v>
      </c>
      <c r="AZ68" s="44" t="s">
        <v>128</v>
      </c>
      <c r="BA68" s="44" t="s">
        <v>129</v>
      </c>
      <c r="BB68" s="44" t="s">
        <v>130</v>
      </c>
      <c r="BC68" s="44" t="s">
        <v>131</v>
      </c>
      <c r="BD68" s="44" t="s">
        <v>132</v>
      </c>
      <c r="BE68" s="44" t="s">
        <v>133</v>
      </c>
      <c r="BF68" s="44" t="s">
        <v>134</v>
      </c>
      <c r="BG68" s="44" t="s">
        <v>135</v>
      </c>
    </row>
    <row r="69" spans="1:59" x14ac:dyDescent="0.3">
      <c r="A69" s="17" t="s">
        <v>136</v>
      </c>
      <c r="B69" s="13" t="s">
        <v>137</v>
      </c>
      <c r="AO69" s="107" t="s">
        <v>76</v>
      </c>
      <c r="AP69" s="104">
        <f>AP44</f>
        <v>0.95</v>
      </c>
      <c r="AQ69" s="43"/>
      <c r="AR69" s="43"/>
      <c r="AU69" s="104">
        <f>AP69</f>
        <v>0.95</v>
      </c>
      <c r="AV69" s="43"/>
      <c r="AW69" s="43"/>
      <c r="AX69" s="44"/>
      <c r="AY69" s="52">
        <f>AP64</f>
        <v>133</v>
      </c>
      <c r="AZ69" s="52">
        <f>AQ64</f>
        <v>127.3</v>
      </c>
      <c r="BA69" s="52">
        <f>AR64</f>
        <v>120.64999999999999</v>
      </c>
      <c r="BB69" s="52">
        <f>AU64</f>
        <v>119.69999999999999</v>
      </c>
      <c r="BC69" s="52">
        <f>AV64</f>
        <v>114.94999999999999</v>
      </c>
      <c r="BD69" s="52">
        <f>AW64</f>
        <v>108.3</v>
      </c>
      <c r="BE69" s="52">
        <f>AU70</f>
        <v>113.71499999999999</v>
      </c>
      <c r="BF69" s="52">
        <f t="shared" ref="BF69:BG72" si="27">AV70</f>
        <v>109.20249999999999</v>
      </c>
      <c r="BG69" s="52">
        <f t="shared" si="27"/>
        <v>102.88499999999999</v>
      </c>
    </row>
    <row r="70" spans="1:59" x14ac:dyDescent="0.3">
      <c r="A70" t="s">
        <v>138</v>
      </c>
      <c r="B70" s="247" t="s">
        <v>139</v>
      </c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O70" s="43"/>
      <c r="AP70" s="106">
        <f>AP64*$AP$69</f>
        <v>126.35</v>
      </c>
      <c r="AQ70" s="106">
        <f t="shared" ref="AP70:AR73" si="28">AQ64*$AP$69</f>
        <v>120.93499999999999</v>
      </c>
      <c r="AR70" s="106">
        <f t="shared" si="28"/>
        <v>114.61749999999999</v>
      </c>
      <c r="AU70" s="106">
        <f>AU64*$AU$69</f>
        <v>113.71499999999999</v>
      </c>
      <c r="AV70" s="106">
        <f>AV64*$AU$69</f>
        <v>109.20249999999999</v>
      </c>
      <c r="AW70" s="106">
        <f>AW64*$AU$69</f>
        <v>102.88499999999999</v>
      </c>
      <c r="AX70" s="44"/>
      <c r="AY70" s="52">
        <f t="shared" ref="AY70:BA72" si="29">AP65</f>
        <v>106.39999999999999</v>
      </c>
      <c r="AZ70" s="52">
        <f t="shared" si="29"/>
        <v>101.64999999999999</v>
      </c>
      <c r="BA70" s="52">
        <f t="shared" si="29"/>
        <v>96.899999999999991</v>
      </c>
      <c r="BB70" s="52">
        <f t="shared" ref="BB70:BD72" si="30">AU65</f>
        <v>95.949999999999989</v>
      </c>
      <c r="BC70" s="52">
        <f t="shared" si="30"/>
        <v>91.199999999999989</v>
      </c>
      <c r="BD70" s="52">
        <f t="shared" si="30"/>
        <v>87.399999999999991</v>
      </c>
      <c r="BE70" s="52">
        <f>AU71</f>
        <v>91.152499999999989</v>
      </c>
      <c r="BF70" s="52">
        <f t="shared" si="27"/>
        <v>86.639999999999986</v>
      </c>
      <c r="BG70" s="52">
        <f t="shared" si="27"/>
        <v>83.029999999999987</v>
      </c>
    </row>
    <row r="71" spans="1:59" x14ac:dyDescent="0.3"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O71" s="43"/>
      <c r="AP71" s="106">
        <f t="shared" si="28"/>
        <v>101.07999999999998</v>
      </c>
      <c r="AQ71" s="106">
        <f t="shared" si="28"/>
        <v>96.567499999999981</v>
      </c>
      <c r="AR71" s="106">
        <f t="shared" si="28"/>
        <v>92.054999999999993</v>
      </c>
      <c r="AU71" s="106">
        <f t="shared" ref="AU71:AW73" si="31">AU65*$AU$69</f>
        <v>91.152499999999989</v>
      </c>
      <c r="AV71" s="106">
        <f t="shared" si="31"/>
        <v>86.639999999999986</v>
      </c>
      <c r="AW71" s="106">
        <f t="shared" si="31"/>
        <v>83.029999999999987</v>
      </c>
      <c r="AX71" s="44"/>
      <c r="AY71" s="52">
        <f t="shared" si="29"/>
        <v>76</v>
      </c>
      <c r="AZ71" s="52">
        <f t="shared" si="29"/>
        <v>71.25</v>
      </c>
      <c r="BA71" s="52">
        <f t="shared" si="29"/>
        <v>66.5</v>
      </c>
      <c r="BB71" s="52">
        <f t="shared" si="30"/>
        <v>68.399999999999991</v>
      </c>
      <c r="BC71" s="52">
        <f t="shared" si="30"/>
        <v>64.599999999999994</v>
      </c>
      <c r="BD71" s="52">
        <f t="shared" si="30"/>
        <v>59.849999999999994</v>
      </c>
      <c r="BE71" s="52">
        <f>AU72</f>
        <v>64.97999999999999</v>
      </c>
      <c r="BF71" s="52">
        <f t="shared" si="27"/>
        <v>61.36999999999999</v>
      </c>
      <c r="BG71" s="52">
        <f t="shared" si="27"/>
        <v>56.857499999999995</v>
      </c>
    </row>
    <row r="72" spans="1:59" x14ac:dyDescent="0.3">
      <c r="T72" s="3" t="s">
        <v>140</v>
      </c>
      <c r="AO72" s="43"/>
      <c r="AP72" s="106">
        <f t="shared" si="28"/>
        <v>72.2</v>
      </c>
      <c r="AQ72" s="106">
        <f t="shared" si="28"/>
        <v>67.6875</v>
      </c>
      <c r="AR72" s="106">
        <f t="shared" si="28"/>
        <v>63.174999999999997</v>
      </c>
      <c r="AU72" s="106">
        <f t="shared" si="31"/>
        <v>64.97999999999999</v>
      </c>
      <c r="AV72" s="106">
        <f t="shared" si="31"/>
        <v>61.36999999999999</v>
      </c>
      <c r="AW72" s="106">
        <f t="shared" si="31"/>
        <v>56.857499999999995</v>
      </c>
      <c r="AX72" s="44"/>
      <c r="AY72" s="52">
        <f t="shared" si="29"/>
        <v>45.599999999999994</v>
      </c>
      <c r="AZ72" s="52">
        <f t="shared" si="29"/>
        <v>42.75</v>
      </c>
      <c r="BA72" s="52">
        <f t="shared" si="29"/>
        <v>38</v>
      </c>
      <c r="BB72" s="52">
        <f t="shared" si="30"/>
        <v>40.85</v>
      </c>
      <c r="BC72" s="52">
        <f t="shared" si="30"/>
        <v>38.949999999999996</v>
      </c>
      <c r="BD72" s="52">
        <f t="shared" si="30"/>
        <v>34.199999999999996</v>
      </c>
      <c r="BE72" s="52">
        <f>AU73</f>
        <v>38.807499999999997</v>
      </c>
      <c r="BF72" s="52">
        <f t="shared" si="27"/>
        <v>37.002499999999998</v>
      </c>
      <c r="BG72" s="52">
        <f t="shared" si="27"/>
        <v>32.489999999999995</v>
      </c>
    </row>
    <row r="73" spans="1:59" ht="15" customHeight="1" x14ac:dyDescent="0.3">
      <c r="A73" s="78" t="s">
        <v>40</v>
      </c>
      <c r="B73" s="13" t="s">
        <v>141</v>
      </c>
      <c r="AO73" s="43"/>
      <c r="AP73" s="106">
        <f t="shared" si="28"/>
        <v>43.319999999999993</v>
      </c>
      <c r="AQ73" s="106">
        <f t="shared" si="28"/>
        <v>40.612499999999997</v>
      </c>
      <c r="AR73" s="106">
        <f t="shared" si="28"/>
        <v>36.1</v>
      </c>
      <c r="AU73" s="106">
        <f t="shared" si="31"/>
        <v>38.807499999999997</v>
      </c>
      <c r="AV73" s="106">
        <f t="shared" si="31"/>
        <v>37.002499999999998</v>
      </c>
      <c r="AW73" s="106">
        <f t="shared" si="31"/>
        <v>32.489999999999995</v>
      </c>
    </row>
    <row r="74" spans="1:59" x14ac:dyDescent="0.3">
      <c r="A74" s="78" t="s">
        <v>43</v>
      </c>
      <c r="B74" s="229" t="s">
        <v>142</v>
      </c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  <c r="AL74" s="229"/>
    </row>
    <row r="75" spans="1:59" x14ac:dyDescent="0.3"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  <c r="AL75" s="229"/>
    </row>
    <row r="76" spans="1:59" x14ac:dyDescent="0.3"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  <c r="AL76" s="229"/>
    </row>
    <row r="77" spans="1:59" x14ac:dyDescent="0.3"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  <c r="AL77" s="229"/>
      <c r="AM77" s="79"/>
    </row>
    <row r="78" spans="1:59" x14ac:dyDescent="0.3"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  <c r="AC78" s="229"/>
      <c r="AD78" s="229"/>
      <c r="AE78" s="229"/>
      <c r="AF78" s="229"/>
      <c r="AG78" s="229"/>
      <c r="AH78" s="229"/>
      <c r="AI78" s="229"/>
      <c r="AJ78" s="229"/>
      <c r="AK78" s="229"/>
      <c r="AL78" s="229"/>
      <c r="AM78" s="79"/>
    </row>
    <row r="79" spans="1:59" x14ac:dyDescent="0.3">
      <c r="A79" s="78" t="s">
        <v>50</v>
      </c>
      <c r="B79" s="78" t="s">
        <v>143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</row>
    <row r="80" spans="1:59" x14ac:dyDescent="0.3">
      <c r="A80" s="78" t="s">
        <v>53</v>
      </c>
      <c r="B80" s="78" t="s">
        <v>144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108"/>
    </row>
    <row r="81" spans="1:41" ht="15" customHeight="1" x14ac:dyDescent="0.3">
      <c r="A81" s="78"/>
      <c r="B81" s="78" t="s">
        <v>145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108"/>
    </row>
    <row r="82" spans="1:41" x14ac:dyDescent="0.3">
      <c r="A82" s="78" t="s">
        <v>120</v>
      </c>
      <c r="B82" s="256" t="s">
        <v>146</v>
      </c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8"/>
    </row>
    <row r="83" spans="1:41" ht="15" customHeight="1" x14ac:dyDescent="0.3"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8"/>
    </row>
    <row r="84" spans="1:41" x14ac:dyDescent="0.3">
      <c r="A84" s="78" t="s">
        <v>123</v>
      </c>
      <c r="B84" s="229" t="s">
        <v>147</v>
      </c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</row>
    <row r="85" spans="1:41" x14ac:dyDescent="0.3"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  <c r="AC85" s="229"/>
      <c r="AD85" s="229"/>
      <c r="AE85" s="229"/>
      <c r="AF85" s="229"/>
      <c r="AG85" s="229"/>
      <c r="AH85" s="229"/>
      <c r="AI85" s="229"/>
      <c r="AJ85" s="229"/>
      <c r="AK85" s="229"/>
      <c r="AL85" s="229"/>
    </row>
    <row r="86" spans="1:41" x14ac:dyDescent="0.3">
      <c r="A86" t="s">
        <v>136</v>
      </c>
      <c r="B86" s="13" t="s">
        <v>148</v>
      </c>
    </row>
    <row r="87" spans="1:41" x14ac:dyDescent="0.3">
      <c r="A87" s="78"/>
      <c r="B87" s="13"/>
    </row>
    <row r="88" spans="1:41" x14ac:dyDescent="0.3">
      <c r="A88" s="78"/>
      <c r="B88" s="13"/>
    </row>
    <row r="91" spans="1:41" x14ac:dyDescent="0.3">
      <c r="AM91" s="109" t="str">
        <f ca="1">IF(AND(AN91&gt;=10,AN91&lt;100),0,IF(AN91&gt;=100,"","00"))</f>
        <v>00</v>
      </c>
      <c r="AN91" s="110">
        <f ca="1">_xlfn.SHEET()-[2]Lista!$AG$2</f>
        <v>-2</v>
      </c>
      <c r="AO91" s="111"/>
    </row>
    <row r="92" spans="1:41" x14ac:dyDescent="0.3">
      <c r="A92" t="s">
        <v>149</v>
      </c>
      <c r="AN92" s="112" t="str">
        <f ca="1">_xlfn.CONCAT(AM91,AN91,"/24")</f>
        <v>00-2/24</v>
      </c>
    </row>
    <row r="94" spans="1:41" x14ac:dyDescent="0.3">
      <c r="A94" s="78" t="s">
        <v>40</v>
      </c>
      <c r="B94" t="s">
        <v>150</v>
      </c>
    </row>
    <row r="95" spans="1:41" x14ac:dyDescent="0.3">
      <c r="B95" t="s">
        <v>644</v>
      </c>
    </row>
    <row r="96" spans="1:41" x14ac:dyDescent="0.3">
      <c r="A96" s="78" t="s">
        <v>43</v>
      </c>
      <c r="B96" t="s">
        <v>645</v>
      </c>
    </row>
    <row r="97" spans="1:85" x14ac:dyDescent="0.3">
      <c r="A97" s="78" t="s">
        <v>50</v>
      </c>
      <c r="B97" t="s">
        <v>151</v>
      </c>
    </row>
    <row r="98" spans="1:85" x14ac:dyDescent="0.3">
      <c r="A98" s="78" t="s">
        <v>53</v>
      </c>
      <c r="B98" t="s">
        <v>152</v>
      </c>
    </row>
    <row r="99" spans="1:85" x14ac:dyDescent="0.3">
      <c r="AJ99" s="257" t="str">
        <f ca="1">_xlfn.CONCAT(AM91,AN91,"/25")</f>
        <v>00-2/25</v>
      </c>
      <c r="AK99" s="257"/>
      <c r="AL99" s="257"/>
      <c r="AN99" s="113"/>
    </row>
    <row r="100" spans="1:85" x14ac:dyDescent="0.3">
      <c r="AN100" s="114"/>
    </row>
    <row r="101" spans="1:85" x14ac:dyDescent="0.3">
      <c r="AN101" s="114"/>
    </row>
    <row r="102" spans="1:85" ht="25.8" x14ac:dyDescent="0.3">
      <c r="E102" s="115" t="s">
        <v>153</v>
      </c>
      <c r="AA102" s="238"/>
      <c r="AB102" s="238"/>
      <c r="AC102" s="238"/>
      <c r="AM102" s="116"/>
      <c r="AP102" s="1" t="s">
        <v>643</v>
      </c>
    </row>
    <row r="103" spans="1:85" ht="25.8" x14ac:dyDescent="0.3">
      <c r="C103" s="116"/>
      <c r="D103" s="116"/>
      <c r="E103" s="258" t="s">
        <v>155</v>
      </c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  <c r="U103" s="258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7"/>
      <c r="AN103" s="118"/>
      <c r="AO103" s="118"/>
      <c r="AP103" s="117"/>
      <c r="AQ103" s="117"/>
      <c r="AR103" s="119">
        <v>0.1125</v>
      </c>
      <c r="AS103" s="6"/>
      <c r="AT103" s="6"/>
    </row>
    <row r="104" spans="1:85" s="117" customFormat="1" ht="28.5" customHeight="1" x14ac:dyDescent="0.35">
      <c r="A104" s="120"/>
      <c r="B104" s="120"/>
      <c r="C104" s="121"/>
      <c r="D104" s="122"/>
      <c r="E104" s="259" t="str">
        <f>Q22</f>
        <v>Klaudia Jastrzębska</v>
      </c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60"/>
      <c r="AI104" s="118"/>
      <c r="AM104" s="261" t="s">
        <v>156</v>
      </c>
      <c r="AN104" s="262"/>
      <c r="AO104" s="123" t="s">
        <v>157</v>
      </c>
      <c r="AP104" s="124" t="s">
        <v>158</v>
      </c>
      <c r="AQ104" s="125" t="s">
        <v>159</v>
      </c>
      <c r="AR104" s="126" t="s">
        <v>160</v>
      </c>
      <c r="AS104" s="126" t="s">
        <v>161</v>
      </c>
      <c r="AT104" s="125" t="s">
        <v>162</v>
      </c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</row>
    <row r="105" spans="1:85" s="117" customFormat="1" ht="14.25" customHeight="1" x14ac:dyDescent="0.3">
      <c r="A105"/>
      <c r="B105"/>
      <c r="C105"/>
      <c r="D105"/>
      <c r="E105" s="263" t="s">
        <v>163</v>
      </c>
      <c r="F105" s="264"/>
      <c r="G105" s="264"/>
      <c r="H105" s="264"/>
      <c r="I105" s="265"/>
      <c r="J105" s="263" t="s">
        <v>164</v>
      </c>
      <c r="K105" s="264"/>
      <c r="L105" s="265"/>
      <c r="M105" s="263" t="s">
        <v>165</v>
      </c>
      <c r="N105" s="264"/>
      <c r="O105" s="264"/>
      <c r="P105" s="264"/>
      <c r="Q105" s="264"/>
      <c r="R105" s="264"/>
      <c r="S105" s="264"/>
      <c r="T105" s="264"/>
      <c r="U105" s="265"/>
      <c r="AI105" s="118"/>
      <c r="AM105" s="266">
        <f ca="1">M106</f>
        <v>329.77</v>
      </c>
      <c r="AN105" s="267"/>
      <c r="AO105" s="127">
        <f t="shared" ref="AO105:AO115" ca="1" si="32">IF(K106=0,0,IF(AW105-K106&lt;=0,0,AW105-K106))</f>
        <v>4</v>
      </c>
      <c r="AP105" s="128" t="e">
        <f>SUMIFS([1]Hist!$N$4:$N$3069,[1]Hist!$H$4:$H$3069,$AP$102,[1]Hist!$A$4:$A$3069,"&gt;="&amp;IF(MONTH(B106)=MONTH(K106),B106,B107),[1]Hist!$A$4:$A$3069,"&lt;="&amp;IF(MONTH(B106)=MONTH(K106),A106,A107))</f>
        <v>#VALUE!</v>
      </c>
      <c r="AQ105" s="129" cm="1">
        <f t="array" aca="1" ref="AQ105" ca="1">IF(K106=0,0,IF($AP$102="","",_xlfn.SINGLE(_xlfn._xlws.FILTER([1]Hist!$A$6:$A$3069,([1]Hist!$H$6:$H$3069=$AP$102)*([1]Hist!$A$6:$A$3069&gt;=IF(MONTH(B106)=MONTH(K106),B106,B107))*([1]Hist!$A$6:$A$3069&lt;=IF(MONTH(B106)=MONTH(K106),A106,A107)),TODAY()))))</f>
        <v>45929</v>
      </c>
      <c r="AR105" s="130">
        <f t="shared" ref="AR105:AR116" ca="1" si="33">IF(AO105&gt;0,AM105*($AR$103/360)*AO105,0)</f>
        <v>0.41221249999999998</v>
      </c>
      <c r="AS105" s="128">
        <f ca="1">IF(AND(K106=0,M106=0,AM105=0),0,IFERROR(AP105-AM105,0))</f>
        <v>0</v>
      </c>
      <c r="AT105" s="131">
        <f t="shared" ref="AT105:AT116" ca="1" si="34">AM105</f>
        <v>329.77</v>
      </c>
      <c r="AU105" s="113" t="e">
        <f ca="1">AP105-AT105</f>
        <v>#VALUE!</v>
      </c>
      <c r="AV105" s="132"/>
      <c r="AW105" s="133">
        <f t="shared" ref="AW105:AW116" ca="1" si="35">AQ105</f>
        <v>45929</v>
      </c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</row>
    <row r="106" spans="1:85" s="117" customFormat="1" ht="14.25" customHeight="1" x14ac:dyDescent="0.3">
      <c r="A106" s="134">
        <f>IFERROR(K106-DAY(K106),0)</f>
        <v>45900</v>
      </c>
      <c r="B106" s="134">
        <f>IFERROR(A106-DAY(A106-1),0)</f>
        <v>45870</v>
      </c>
      <c r="C106"/>
      <c r="D106"/>
      <c r="E106" s="248">
        <v>1</v>
      </c>
      <c r="F106" s="249"/>
      <c r="G106" s="249"/>
      <c r="H106" s="249"/>
      <c r="I106" s="250"/>
      <c r="J106" s="135"/>
      <c r="K106" s="136">
        <f>$N$59</f>
        <v>45925</v>
      </c>
      <c r="L106" s="137"/>
      <c r="M106" s="251">
        <f ca="1">IF(AA102/COUNTIF(K106:K117,"&gt;0")&lt;&gt;0,I57-AA102/COUNTIF(K106:K117,"&gt;0"),I57)</f>
        <v>329.77</v>
      </c>
      <c r="N106" s="252"/>
      <c r="O106" s="252"/>
      <c r="P106" s="252"/>
      <c r="Q106" s="252"/>
      <c r="R106" s="252"/>
      <c r="S106" s="252"/>
      <c r="T106" s="252"/>
      <c r="U106" s="253"/>
      <c r="AI106" s="118"/>
      <c r="AM106" s="254" t="e">
        <f t="shared" ref="AM106:AM116" ca="1" si="36">IF(AND(AO105&lt;=0,AP105&gt;0),M107*0.95,M107)</f>
        <v>#VALUE!</v>
      </c>
      <c r="AN106" s="255"/>
      <c r="AO106" s="138">
        <f t="shared" ca="1" si="32"/>
        <v>0</v>
      </c>
      <c r="AP106" s="139" t="e">
        <f ca="1">SUMIFS([1]Hist!$N$4:$N$3069,[1]Hist!$H$4:$H$3069,$AP$102,[1]Hist!$A$4:$A$3069,"&gt;="&amp;IF(MONTH(B107)=MONTH(K107),B107,B108),[1]Hist!$A$4:$A$3069,"&lt;="&amp;IF(MONTH(B107)=MONTH(K107),A107,A108))</f>
        <v>#VALUE!</v>
      </c>
      <c r="AQ106" s="140" cm="1">
        <f t="array" aca="1" ref="AQ106" ca="1">IF(K107=0,0,IF($AP$102="","",_xlfn.SINGLE(_xlfn._xlws.FILTER([1]Hist!$A$6:$A$3069,([1]Hist!$H$6:$H$3069=$AP$102)*([1]Hist!$A$6:$A$3069&gt;=IF(MONTH(B107)=MONTH(K107),B107,B108))*([1]Hist!$A$6:$A$3069&lt;=IF(MONTH(B107)=MONTH(K107),A107,A108)),TODAY()))))</f>
        <v>46202</v>
      </c>
      <c r="AR106" s="141">
        <f t="shared" ca="1" si="33"/>
        <v>0</v>
      </c>
      <c r="AS106" s="139" t="e">
        <f t="shared" ref="AS106:AS116" ca="1" si="37">IF(AND(K107=0,M107=0,AM106=0),0,IFERROR(AS105-AM106+AP106,0))</f>
        <v>#VALUE!</v>
      </c>
      <c r="AT106" s="142" t="e">
        <f t="shared" ca="1" si="34"/>
        <v>#VALUE!</v>
      </c>
      <c r="AU106" s="113" t="e">
        <f t="shared" ref="AU106:AU116" ca="1" si="38">AU105-AT106+AP106</f>
        <v>#VALUE!</v>
      </c>
      <c r="AV106" s="132"/>
      <c r="AW106" s="133">
        <f t="shared" ca="1" si="35"/>
        <v>46202</v>
      </c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</row>
    <row r="107" spans="1:85" s="117" customFormat="1" ht="14.25" customHeight="1" x14ac:dyDescent="0.3">
      <c r="A107" s="134">
        <f t="shared" ref="A107:A118" si="39">EOMONTH(K106,0)</f>
        <v>45930</v>
      </c>
      <c r="B107" s="134">
        <f t="shared" ref="B107:B115" si="40">K106-DAY(K106-1)</f>
        <v>45901</v>
      </c>
      <c r="C107"/>
      <c r="D107"/>
      <c r="E107" s="248">
        <v>2</v>
      </c>
      <c r="F107" s="249"/>
      <c r="G107" s="249"/>
      <c r="H107" s="249"/>
      <c r="I107" s="250"/>
      <c r="J107" s="135"/>
      <c r="K107" s="143" cm="1">
        <f t="array" aca="1" ref="K107:K115" ca="1">IF(D57&gt;0,OFFSET(AT5,MATCH(TRUE,$AT$5:$AT$19&gt;=EOMONTH(N59,-1),0),0,D57-1,1),"")</f>
        <v>46218</v>
      </c>
      <c r="L107" s="137"/>
      <c r="M107" s="251">
        <f t="shared" ref="M107:M112" ca="1" si="41">IF(K107&gt;0,M106,"")</f>
        <v>329.77</v>
      </c>
      <c r="N107" s="252"/>
      <c r="O107" s="252"/>
      <c r="P107" s="252"/>
      <c r="Q107" s="252"/>
      <c r="R107" s="252"/>
      <c r="S107" s="252"/>
      <c r="T107" s="252"/>
      <c r="U107" s="253"/>
      <c r="AM107" s="254" t="e">
        <f t="shared" ca="1" si="36"/>
        <v>#VALUE!</v>
      </c>
      <c r="AN107" s="255"/>
      <c r="AO107" s="138">
        <f t="shared" ca="1" si="32"/>
        <v>0</v>
      </c>
      <c r="AP107" s="139" t="e">
        <f ca="1">SUMIFS([1]Hist!$N$4:$N$3069,[1]Hist!$H$4:$H$3069,$AP$102,[1]Hist!$A$4:$A$3069,"&gt;="&amp;IF(MONTH(B108)=MONTH(K108),B108,B109),[1]Hist!$A$4:$A$3069,"&lt;="&amp;IF(MONTH(B108)=MONTH(K108),A108,A109))</f>
        <v>#VALUE!</v>
      </c>
      <c r="AQ107" s="140" cm="1">
        <f t="array" aca="1" ref="AQ107" ca="1">IF(K108=0,0,IF($AP$102="","",_xlfn.SINGLE(_xlfn._xlws.FILTER([1]Hist!$A$6:$A$3069,([1]Hist!$H$6:$H$3069=$AP$102)*([1]Hist!$A$6:$A$3069&gt;=IF(MONTH(B108)=MONTH(K108),B108,B109))*([1]Hist!$A$6:$A$3069&lt;=IF(MONTH(B108)=MONTH(K108),A108,A109)),TODAY()))))</f>
        <v>46202</v>
      </c>
      <c r="AR107" s="141">
        <f t="shared" ca="1" si="33"/>
        <v>0</v>
      </c>
      <c r="AS107" s="139" t="e">
        <f t="shared" ca="1" si="37"/>
        <v>#VALUE!</v>
      </c>
      <c r="AT107" s="142" t="e">
        <f t="shared" ca="1" si="34"/>
        <v>#VALUE!</v>
      </c>
      <c r="AU107" s="113" t="e">
        <f t="shared" ca="1" si="38"/>
        <v>#VALUE!</v>
      </c>
      <c r="AV107" s="132"/>
      <c r="AW107" s="133">
        <f t="shared" ca="1" si="35"/>
        <v>46202</v>
      </c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</row>
    <row r="108" spans="1:85" s="117" customFormat="1" ht="14.25" customHeight="1" x14ac:dyDescent="0.3">
      <c r="A108" s="134">
        <f t="shared" ca="1" si="39"/>
        <v>46234</v>
      </c>
      <c r="B108" s="134">
        <f t="shared" ca="1" si="40"/>
        <v>46204</v>
      </c>
      <c r="C108"/>
      <c r="D108"/>
      <c r="E108" s="248">
        <v>3</v>
      </c>
      <c r="F108" s="249"/>
      <c r="G108" s="249"/>
      <c r="H108" s="249"/>
      <c r="I108" s="250"/>
      <c r="J108" s="135"/>
      <c r="K108" s="143">
        <f ca="1"/>
        <v>46249</v>
      </c>
      <c r="L108" s="137"/>
      <c r="M108" s="251">
        <f t="shared" ca="1" si="41"/>
        <v>329.77</v>
      </c>
      <c r="N108" s="252"/>
      <c r="O108" s="252"/>
      <c r="P108" s="252"/>
      <c r="Q108" s="252"/>
      <c r="R108" s="252"/>
      <c r="S108" s="252"/>
      <c r="T108" s="252"/>
      <c r="U108" s="253"/>
      <c r="AI108" s="118"/>
      <c r="AM108" s="254" t="e">
        <f t="shared" ca="1" si="36"/>
        <v>#VALUE!</v>
      </c>
      <c r="AN108" s="255"/>
      <c r="AO108" s="138">
        <f t="shared" ca="1" si="32"/>
        <v>0</v>
      </c>
      <c r="AP108" s="139" t="e">
        <f ca="1">SUMIFS([1]Hist!$N$4:$N$3069,[1]Hist!$H$4:$H$3069,$AP$102,[1]Hist!$A$4:$A$3069,"&gt;="&amp;IF(MONTH(B109)=MONTH(K109),B109,B110),[1]Hist!$A$4:$A$3069,"&lt;="&amp;IF(MONTH(B109)=MONTH(K109),A109,A110))</f>
        <v>#VALUE!</v>
      </c>
      <c r="AQ108" s="140" cm="1">
        <f t="array" aca="1" ref="AQ108" ca="1">IF(K109=0,0,IF($AP$102="","",_xlfn.SINGLE(_xlfn._xlws.FILTER([1]Hist!$A$6:$A$3069,([1]Hist!$H$6:$H$3069=$AP$102)*([1]Hist!$A$6:$A$3069&gt;=IF(MONTH(B109)=MONTH(K109),B109,B110))*([1]Hist!$A$6:$A$3069&lt;=IF(MONTH(B109)=MONTH(K109),A109,A110)),TODAY()))))</f>
        <v>46202</v>
      </c>
      <c r="AR108" s="141">
        <f t="shared" ca="1" si="33"/>
        <v>0</v>
      </c>
      <c r="AS108" s="139" t="e">
        <f t="shared" ca="1" si="37"/>
        <v>#VALUE!</v>
      </c>
      <c r="AT108" s="142" t="e">
        <f t="shared" ca="1" si="34"/>
        <v>#VALUE!</v>
      </c>
      <c r="AU108" s="113" t="e">
        <f t="shared" ca="1" si="38"/>
        <v>#VALUE!</v>
      </c>
      <c r="AV108" s="132"/>
      <c r="AW108" s="133">
        <f t="shared" ca="1" si="35"/>
        <v>46202</v>
      </c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</row>
    <row r="109" spans="1:85" s="117" customFormat="1" ht="14.25" customHeight="1" x14ac:dyDescent="0.3">
      <c r="A109" s="134">
        <f t="shared" ca="1" si="39"/>
        <v>46265</v>
      </c>
      <c r="B109" s="134">
        <f t="shared" ca="1" si="40"/>
        <v>46235</v>
      </c>
      <c r="C109"/>
      <c r="D109"/>
      <c r="E109" s="248">
        <v>4</v>
      </c>
      <c r="F109" s="249"/>
      <c r="G109" s="249"/>
      <c r="H109" s="249"/>
      <c r="I109" s="250"/>
      <c r="J109" s="135"/>
      <c r="K109" s="143">
        <f ca="1"/>
        <v>46280</v>
      </c>
      <c r="L109" s="136"/>
      <c r="M109" s="251">
        <f t="shared" ca="1" si="41"/>
        <v>329.77</v>
      </c>
      <c r="N109" s="252"/>
      <c r="O109" s="252"/>
      <c r="P109" s="252"/>
      <c r="Q109" s="252"/>
      <c r="R109" s="252"/>
      <c r="S109" s="252"/>
      <c r="T109" s="252"/>
      <c r="U109" s="253"/>
      <c r="AI109" s="118"/>
      <c r="AM109" s="254" t="e">
        <f t="shared" ca="1" si="36"/>
        <v>#VALUE!</v>
      </c>
      <c r="AN109" s="255"/>
      <c r="AO109" s="138">
        <f t="shared" ca="1" si="32"/>
        <v>0</v>
      </c>
      <c r="AP109" s="139" t="e">
        <f ca="1">SUMIFS([1]Hist!$N$4:$N$3069,[1]Hist!$H$4:$H$3069,$AP$102,[1]Hist!$A$4:$A$3069,"&gt;="&amp;IF(MONTH(B110)=MONTH(K110),B110,B111),[1]Hist!$A$4:$A$3069,"&lt;="&amp;IF(MONTH(B110)=MONTH(K110),A110,A111))</f>
        <v>#VALUE!</v>
      </c>
      <c r="AQ109" s="140" cm="1">
        <f t="array" aca="1" ref="AQ109" ca="1">IF(K110=0,0,IF($AP$102="","",_xlfn.SINGLE(_xlfn._xlws.FILTER([1]Hist!$A$6:$A$3069,([1]Hist!$H$6:$H$3069=$AP$102)*([1]Hist!$A$6:$A$3069&gt;=IF(MONTH(B110)=MONTH(K110),B110,B111))*([1]Hist!$A$6:$A$3069&lt;=IF(MONTH(B110)=MONTH(K110),A110,A111)),TODAY()))))</f>
        <v>46202</v>
      </c>
      <c r="AR109" s="141">
        <f t="shared" ca="1" si="33"/>
        <v>0</v>
      </c>
      <c r="AS109" s="139" t="e">
        <f t="shared" ca="1" si="37"/>
        <v>#VALUE!</v>
      </c>
      <c r="AT109" s="142" t="e">
        <f t="shared" ca="1" si="34"/>
        <v>#VALUE!</v>
      </c>
      <c r="AU109" s="113" t="e">
        <f t="shared" ca="1" si="38"/>
        <v>#VALUE!</v>
      </c>
      <c r="AV109" s="132"/>
      <c r="AW109" s="133">
        <f t="shared" ca="1" si="35"/>
        <v>46202</v>
      </c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</row>
    <row r="110" spans="1:85" s="117" customFormat="1" ht="14.25" customHeight="1" x14ac:dyDescent="0.3">
      <c r="A110" s="134">
        <f t="shared" ca="1" si="39"/>
        <v>46295</v>
      </c>
      <c r="B110" s="134">
        <f t="shared" ca="1" si="40"/>
        <v>46266</v>
      </c>
      <c r="C110"/>
      <c r="D110"/>
      <c r="E110" s="248">
        <v>5</v>
      </c>
      <c r="F110" s="249"/>
      <c r="G110" s="249"/>
      <c r="H110" s="249"/>
      <c r="I110" s="250"/>
      <c r="J110" s="135"/>
      <c r="K110" s="143">
        <f ca="1"/>
        <v>46310</v>
      </c>
      <c r="L110" s="136"/>
      <c r="M110" s="251">
        <f t="shared" ca="1" si="41"/>
        <v>329.77</v>
      </c>
      <c r="N110" s="252"/>
      <c r="O110" s="252"/>
      <c r="P110" s="252"/>
      <c r="Q110" s="252"/>
      <c r="R110" s="252"/>
      <c r="S110" s="252"/>
      <c r="T110" s="252"/>
      <c r="U110" s="253"/>
      <c r="AI110" s="118"/>
      <c r="AM110" s="254" t="e">
        <f t="shared" ca="1" si="36"/>
        <v>#VALUE!</v>
      </c>
      <c r="AN110" s="255"/>
      <c r="AO110" s="138">
        <f t="shared" ca="1" si="32"/>
        <v>0</v>
      </c>
      <c r="AP110" s="139" t="e">
        <f ca="1">SUMIFS([1]Hist!$N$4:$N$3069,[1]Hist!$H$4:$H$3069,$AP$102,[1]Hist!$A$4:$A$3069,"&gt;="&amp;IF(MONTH(B111)=MONTH(K111),B111,B112),[1]Hist!$A$4:$A$3069,"&lt;="&amp;IF(MONTH(B111)=MONTH(K111),A111,A112))</f>
        <v>#VALUE!</v>
      </c>
      <c r="AQ110" s="140" cm="1">
        <f t="array" aca="1" ref="AQ110" ca="1">IF(K111=0,0,IF($AP$102="","",_xlfn.SINGLE(_xlfn._xlws.FILTER([1]Hist!$A$6:$A$3069,([1]Hist!$H$6:$H$3069=$AP$102)*([1]Hist!$A$6:$A$3069&gt;=IF(MONTH(B111)=MONTH(K111),B111,B112))*([1]Hist!$A$6:$A$3069&lt;=IF(MONTH(B111)=MONTH(K111),A111,A112)),TODAY()))))</f>
        <v>46202</v>
      </c>
      <c r="AR110" s="141">
        <f t="shared" ca="1" si="33"/>
        <v>0</v>
      </c>
      <c r="AS110" s="139" t="e">
        <f t="shared" ca="1" si="37"/>
        <v>#VALUE!</v>
      </c>
      <c r="AT110" s="142" t="e">
        <f t="shared" ca="1" si="34"/>
        <v>#VALUE!</v>
      </c>
      <c r="AU110" s="113" t="e">
        <f t="shared" ca="1" si="38"/>
        <v>#VALUE!</v>
      </c>
      <c r="AV110" s="132"/>
      <c r="AW110" s="133">
        <f t="shared" ca="1" si="35"/>
        <v>46202</v>
      </c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</row>
    <row r="111" spans="1:85" s="117" customFormat="1" ht="14.25" customHeight="1" x14ac:dyDescent="0.3">
      <c r="A111" s="134">
        <f t="shared" ca="1" si="39"/>
        <v>46326</v>
      </c>
      <c r="B111" s="134">
        <f t="shared" ca="1" si="40"/>
        <v>46296</v>
      </c>
      <c r="C111"/>
      <c r="D111"/>
      <c r="E111" s="248">
        <v>6</v>
      </c>
      <c r="F111" s="249"/>
      <c r="G111" s="249"/>
      <c r="H111" s="249"/>
      <c r="I111" s="250"/>
      <c r="J111" s="135"/>
      <c r="K111" s="143">
        <f ca="1"/>
        <v>46341</v>
      </c>
      <c r="L111" s="136"/>
      <c r="M111" s="251">
        <f t="shared" ca="1" si="41"/>
        <v>329.77</v>
      </c>
      <c r="N111" s="252"/>
      <c r="O111" s="252"/>
      <c r="P111" s="252"/>
      <c r="Q111" s="252"/>
      <c r="R111" s="252"/>
      <c r="S111" s="252"/>
      <c r="T111" s="252"/>
      <c r="U111" s="253"/>
      <c r="AI111" s="118"/>
      <c r="AM111" s="254" t="e">
        <f t="shared" ca="1" si="36"/>
        <v>#VALUE!</v>
      </c>
      <c r="AN111" s="255"/>
      <c r="AO111" s="138">
        <f t="shared" ca="1" si="32"/>
        <v>0</v>
      </c>
      <c r="AP111" s="139" t="e">
        <f ca="1">SUMIFS([1]Hist!$N$4:$N$3069,[1]Hist!$H$4:$H$3069,$AP$102,[1]Hist!$A$4:$A$3069,"&gt;="&amp;IF(MONTH(B112)=MONTH(K112),B112,B113),[1]Hist!$A$4:$A$3069,"&lt;="&amp;IF(MONTH(B112)=MONTH(K112),A112,A113))</f>
        <v>#VALUE!</v>
      </c>
      <c r="AQ111" s="140" cm="1">
        <f t="array" aca="1" ref="AQ111" ca="1">IF(K112=0,0,IF($AP$102="","",_xlfn.SINGLE(_xlfn._xlws.FILTER([1]Hist!$A$6:$A$3069,([1]Hist!$H$6:$H$3069=$AP$102)*([1]Hist!$A$6:$A$3069&gt;=IF(MONTH(B112)=MONTH(K112),B112,B113))*([1]Hist!$A$6:$A$3069&lt;=IF(MONTH(B112)=MONTH(K112),A112,A113)),TODAY()))))</f>
        <v>46202</v>
      </c>
      <c r="AR111" s="141">
        <f t="shared" ca="1" si="33"/>
        <v>0</v>
      </c>
      <c r="AS111" s="139" t="e">
        <f t="shared" ca="1" si="37"/>
        <v>#VALUE!</v>
      </c>
      <c r="AT111" s="142" t="e">
        <f t="shared" ca="1" si="34"/>
        <v>#VALUE!</v>
      </c>
      <c r="AU111" s="113" t="e">
        <f t="shared" ca="1" si="38"/>
        <v>#VALUE!</v>
      </c>
      <c r="AV111" s="132"/>
      <c r="AW111" s="133">
        <f t="shared" ca="1" si="35"/>
        <v>46202</v>
      </c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</row>
    <row r="112" spans="1:85" s="117" customFormat="1" ht="14.25" customHeight="1" x14ac:dyDescent="0.3">
      <c r="A112" s="134">
        <f t="shared" ca="1" si="39"/>
        <v>46356</v>
      </c>
      <c r="B112" s="134">
        <f t="shared" ca="1" si="40"/>
        <v>46327</v>
      </c>
      <c r="C112"/>
      <c r="D112"/>
      <c r="E112" s="248">
        <v>7</v>
      </c>
      <c r="F112" s="249"/>
      <c r="G112" s="249"/>
      <c r="H112" s="249"/>
      <c r="I112" s="250"/>
      <c r="J112" s="135"/>
      <c r="K112" s="143">
        <f ca="1"/>
        <v>46371</v>
      </c>
      <c r="L112" s="136"/>
      <c r="M112" s="251">
        <f t="shared" ca="1" si="41"/>
        <v>329.77</v>
      </c>
      <c r="N112" s="252"/>
      <c r="O112" s="252"/>
      <c r="P112" s="252"/>
      <c r="Q112" s="252"/>
      <c r="R112" s="252"/>
      <c r="S112" s="252"/>
      <c r="T112" s="252"/>
      <c r="U112" s="253"/>
      <c r="AI112" s="118"/>
      <c r="AM112" s="254" t="e">
        <f t="shared" ca="1" si="36"/>
        <v>#VALUE!</v>
      </c>
      <c r="AN112" s="255"/>
      <c r="AO112" s="138">
        <f t="shared" ca="1" si="32"/>
        <v>0</v>
      </c>
      <c r="AP112" s="139" t="e">
        <f ca="1">SUMIFS([1]Hist!$N$4:$N$3069,[1]Hist!$H$4:$H$3069,$AP$102,[1]Hist!$A$4:$A$3069,"&gt;="&amp;IF(MONTH(B113)=MONTH(K113),B113,B114),[1]Hist!$A$4:$A$3069,"&lt;="&amp;IF(MONTH(B113)=MONTH(K113),A113,A114))</f>
        <v>#VALUE!</v>
      </c>
      <c r="AQ112" s="140" cm="1">
        <f t="array" aca="1" ref="AQ112" ca="1">IF(K113=0,0,IF($AP$102="","",_xlfn.SINGLE(_xlfn._xlws.FILTER([1]Hist!$A$6:$A$3069,([1]Hist!$H$6:$H$3069=$AP$102)*([1]Hist!$A$6:$A$3069&gt;=IF(MONTH(B113)=MONTH(K113),B113,B114))*([1]Hist!$A$6:$A$3069&lt;=IF(MONTH(B113)=MONTH(K113),A113,A114)),TODAY()))))</f>
        <v>46202</v>
      </c>
      <c r="AR112" s="141">
        <f t="shared" ca="1" si="33"/>
        <v>0</v>
      </c>
      <c r="AS112" s="139" t="e">
        <f t="shared" ca="1" si="37"/>
        <v>#VALUE!</v>
      </c>
      <c r="AT112" s="142" t="e">
        <f t="shared" ca="1" si="34"/>
        <v>#VALUE!</v>
      </c>
      <c r="AU112" s="113" t="e">
        <f t="shared" ca="1" si="38"/>
        <v>#VALUE!</v>
      </c>
      <c r="AV112" s="132"/>
      <c r="AW112" s="133">
        <f t="shared" ca="1" si="35"/>
        <v>46202</v>
      </c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</row>
    <row r="113" spans="1:85" s="117" customFormat="1" ht="14.25" customHeight="1" x14ac:dyDescent="0.3">
      <c r="A113" s="134">
        <f t="shared" ca="1" si="39"/>
        <v>46387</v>
      </c>
      <c r="B113" s="134">
        <f t="shared" ca="1" si="40"/>
        <v>46357</v>
      </c>
      <c r="C113"/>
      <c r="D113"/>
      <c r="E113" s="248">
        <v>8</v>
      </c>
      <c r="F113" s="249"/>
      <c r="G113" s="249"/>
      <c r="H113" s="249"/>
      <c r="I113" s="250"/>
      <c r="J113" s="135"/>
      <c r="K113" s="143">
        <f ca="1"/>
        <v>46402</v>
      </c>
      <c r="L113" s="136"/>
      <c r="M113" s="251">
        <f ca="1">IF(K113&gt;0,M112,0)</f>
        <v>329.77</v>
      </c>
      <c r="N113" s="252"/>
      <c r="O113" s="252"/>
      <c r="P113" s="252"/>
      <c r="Q113" s="252"/>
      <c r="R113" s="252"/>
      <c r="S113" s="252"/>
      <c r="T113" s="252"/>
      <c r="U113" s="253"/>
      <c r="AI113" s="118"/>
      <c r="AM113" s="254" t="e">
        <f t="shared" ca="1" si="36"/>
        <v>#VALUE!</v>
      </c>
      <c r="AN113" s="255"/>
      <c r="AO113" s="138">
        <f t="shared" ca="1" si="32"/>
        <v>0</v>
      </c>
      <c r="AP113" s="139" t="e">
        <f ca="1">SUMIFS([1]Hist!$N$4:$N$3069,[1]Hist!$H$4:$H$3069,$AP$102,[1]Hist!$A$4:$A$3069,"&gt;="&amp;IF(MONTH(B114)=MONTH(K114),B114,B115),[1]Hist!$A$4:$A$3069,"&lt;="&amp;IF(MONTH(B114)=MONTH(K114),A114,A115))</f>
        <v>#VALUE!</v>
      </c>
      <c r="AQ113" s="140" cm="1">
        <f t="array" aca="1" ref="AQ113" ca="1">IF(K114=0,0,IF($AP$102="","",_xlfn.SINGLE(_xlfn._xlws.FILTER([1]Hist!$A$6:$A$3069,([1]Hist!$H$6:$H$3069=$AP$102)*([1]Hist!$A$6:$A$3069&gt;=IF(MONTH(B114)=MONTH(K114),B114,B115))*([1]Hist!$A$6:$A$3069&lt;=IF(MONTH(B114)=MONTH(K114),A114,A115)),TODAY()))))</f>
        <v>46202</v>
      </c>
      <c r="AR113" s="141">
        <f t="shared" ca="1" si="33"/>
        <v>0</v>
      </c>
      <c r="AS113" s="139" t="e">
        <f t="shared" ca="1" si="37"/>
        <v>#VALUE!</v>
      </c>
      <c r="AT113" s="142" t="e">
        <f t="shared" ca="1" si="34"/>
        <v>#VALUE!</v>
      </c>
      <c r="AU113" s="113" t="e">
        <f t="shared" ca="1" si="38"/>
        <v>#VALUE!</v>
      </c>
      <c r="AV113" s="132"/>
      <c r="AW113" s="133">
        <f t="shared" ca="1" si="35"/>
        <v>46202</v>
      </c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</row>
    <row r="114" spans="1:85" s="117" customFormat="1" ht="14.25" customHeight="1" x14ac:dyDescent="0.3">
      <c r="A114" s="134">
        <f t="shared" ca="1" si="39"/>
        <v>46418</v>
      </c>
      <c r="B114" s="134">
        <f t="shared" ca="1" si="40"/>
        <v>46388</v>
      </c>
      <c r="C114"/>
      <c r="D114"/>
      <c r="E114" s="248">
        <v>9</v>
      </c>
      <c r="F114" s="249"/>
      <c r="G114" s="249"/>
      <c r="H114" s="249"/>
      <c r="I114" s="250"/>
      <c r="J114" s="135"/>
      <c r="K114" s="143">
        <f ca="1"/>
        <v>46433</v>
      </c>
      <c r="L114" s="136"/>
      <c r="M114" s="251">
        <f ca="1">IF(K114&gt;0,M113,0)</f>
        <v>329.77</v>
      </c>
      <c r="N114" s="252"/>
      <c r="O114" s="252"/>
      <c r="P114" s="252"/>
      <c r="Q114" s="252"/>
      <c r="R114" s="252"/>
      <c r="S114" s="252"/>
      <c r="T114" s="252"/>
      <c r="U114" s="253"/>
      <c r="AI114" s="118"/>
      <c r="AM114" s="254" t="e">
        <f t="shared" ca="1" si="36"/>
        <v>#VALUE!</v>
      </c>
      <c r="AN114" s="255"/>
      <c r="AO114" s="138">
        <f t="shared" ca="1" si="32"/>
        <v>0</v>
      </c>
      <c r="AP114" s="139" t="e">
        <f ca="1">SUMIFS([1]Hist!$N$4:$N$3069,[1]Hist!$H$4:$H$3069,$AP$102,[1]Hist!$A$4:$A$3069,"&gt;="&amp;IF(MONTH(B115)=MONTH(K115),B115,B116),[1]Hist!$A$4:$A$3069,"&lt;="&amp;IF(MONTH(B115)=MONTH(K115),A115,A116))</f>
        <v>#VALUE!</v>
      </c>
      <c r="AQ114" s="140" cm="1">
        <f t="array" aca="1" ref="AQ114" ca="1">IF(K115=0,0,IF($AP$102="","",_xlfn.SINGLE(_xlfn._xlws.FILTER([1]Hist!$A$6:$A$3069,([1]Hist!$H$6:$H$3069=$AP$102)*([1]Hist!$A$6:$A$3069&gt;=IF(MONTH(B115)=MONTH(K115),B115,B116))*([1]Hist!$A$6:$A$3069&lt;=IF(MONTH(B115)=MONTH(K115),A115,A116)),TODAY()))))</f>
        <v>46202</v>
      </c>
      <c r="AR114" s="141">
        <f t="shared" ca="1" si="33"/>
        <v>0</v>
      </c>
      <c r="AS114" s="139" t="e">
        <f t="shared" ca="1" si="37"/>
        <v>#VALUE!</v>
      </c>
      <c r="AT114" s="142" t="e">
        <f t="shared" ca="1" si="34"/>
        <v>#VALUE!</v>
      </c>
      <c r="AU114" s="113" t="e">
        <f t="shared" ca="1" si="38"/>
        <v>#VALUE!</v>
      </c>
      <c r="AV114" s="132"/>
      <c r="AW114" s="133">
        <f t="shared" ca="1" si="35"/>
        <v>46202</v>
      </c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</row>
    <row r="115" spans="1:85" s="117" customFormat="1" ht="14.25" customHeight="1" x14ac:dyDescent="0.3">
      <c r="A115" s="134">
        <f t="shared" ca="1" si="39"/>
        <v>46446</v>
      </c>
      <c r="B115" s="134">
        <f t="shared" ca="1" si="40"/>
        <v>46419</v>
      </c>
      <c r="C115"/>
      <c r="D115"/>
      <c r="E115" s="248">
        <v>10</v>
      </c>
      <c r="F115" s="249"/>
      <c r="G115" s="249"/>
      <c r="H115" s="249"/>
      <c r="I115" s="250"/>
      <c r="J115" s="135"/>
      <c r="K115" s="143">
        <f ca="1"/>
        <v>46461</v>
      </c>
      <c r="L115" s="136"/>
      <c r="M115" s="251">
        <f ca="1">IF(K115&gt;0,M114,0)</f>
        <v>329.77</v>
      </c>
      <c r="N115" s="252"/>
      <c r="O115" s="252"/>
      <c r="P115" s="252"/>
      <c r="Q115" s="252"/>
      <c r="R115" s="252"/>
      <c r="S115" s="252"/>
      <c r="T115" s="252"/>
      <c r="U115" s="253"/>
      <c r="AI115" s="118"/>
      <c r="AM115" s="254" t="e">
        <f t="shared" ca="1" si="36"/>
        <v>#VALUE!</v>
      </c>
      <c r="AN115" s="255"/>
      <c r="AO115" s="138">
        <f t="shared" si="32"/>
        <v>0</v>
      </c>
      <c r="AP115" s="139" t="e">
        <f ca="1">SUMIFS([1]Hist!$N$4:$N$3069,[1]Hist!$H$4:$H$3069,$AP$102,[1]Hist!$A$4:$A$3069,"&gt;="&amp;IF(MONTH(B116)=MONTH(K116),B116,B117),[1]Hist!$A$4:$A$3069,"&lt;="&amp;IF(MONTH(B116)=MONTH(K116),A116,A117))</f>
        <v>#VALUE!</v>
      </c>
      <c r="AQ115" s="140" cm="1">
        <f t="array" aca="1" ref="AQ115" ca="1">IF(K116=0,0,IF($AP$102="","",_xlfn.SINGLE(_xlfn._xlws.FILTER([1]Hist!$A$6:$A$3069,([1]Hist!$H$6:$H$3069=$AP$102)*([1]Hist!$A$6:$A$3069&gt;=IF(MONTH(B116)=MONTH(K116),B116,B117))*([1]Hist!$A$6:$A$3069&lt;=IF(MONTH(B116)=MONTH(K116),A116,A117)),TODAY()))))</f>
        <v>0</v>
      </c>
      <c r="AR115" s="141">
        <f t="shared" si="33"/>
        <v>0</v>
      </c>
      <c r="AS115" s="139" t="e">
        <f t="shared" ca="1" si="37"/>
        <v>#VALUE!</v>
      </c>
      <c r="AT115" s="142" t="e">
        <f t="shared" ca="1" si="34"/>
        <v>#VALUE!</v>
      </c>
      <c r="AU115" s="113" t="e">
        <f t="shared" ca="1" si="38"/>
        <v>#VALUE!</v>
      </c>
      <c r="AV115" s="132"/>
      <c r="AW115" s="133">
        <f t="shared" ca="1" si="35"/>
        <v>0</v>
      </c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</row>
    <row r="116" spans="1:85" s="117" customFormat="1" ht="14.25" customHeight="1" x14ac:dyDescent="0.3">
      <c r="A116" s="134">
        <f t="shared" ca="1" si="39"/>
        <v>46477</v>
      </c>
      <c r="B116" s="134">
        <f ca="1">IFERROR(K115-DAY(K115-1),"")</f>
        <v>46447</v>
      </c>
      <c r="C116"/>
      <c r="D116"/>
      <c r="E116" s="248">
        <v>11</v>
      </c>
      <c r="F116" s="249"/>
      <c r="G116" s="249"/>
      <c r="H116" s="249"/>
      <c r="I116" s="250"/>
      <c r="J116" s="135"/>
      <c r="K116" s="143"/>
      <c r="L116" s="136"/>
      <c r="M116" s="251">
        <f>IF(K116&gt;0,M115,0)</f>
        <v>0</v>
      </c>
      <c r="N116" s="252"/>
      <c r="O116" s="252"/>
      <c r="P116" s="252"/>
      <c r="Q116" s="252"/>
      <c r="R116" s="252"/>
      <c r="S116" s="252"/>
      <c r="T116" s="252"/>
      <c r="U116" s="253"/>
      <c r="AI116" s="118"/>
      <c r="AM116" s="269" t="e">
        <f t="shared" ca="1" si="36"/>
        <v>#VALUE!</v>
      </c>
      <c r="AN116" s="270"/>
      <c r="AO116" s="144">
        <f>IF(K117=0,0,IF(AV116-K117&lt;=0,0,AV116-K117))</f>
        <v>0</v>
      </c>
      <c r="AP116" s="145" t="e">
        <f>SUMIFS([1]Hist!$N$4:$N$3069,[1]Hist!$H$4:$H$3069,$AP$102,[1]Hist!$A$4:$A$3069,"&gt;="&amp;IF(MONTH(B117)=MONTH(K117),B117,B118),[1]Hist!$A$4:$A$3069,"&lt;="&amp;IF(MONTH(B117)=MONTH(K117),A117,A118))</f>
        <v>#VALUE!</v>
      </c>
      <c r="AQ116" s="146" cm="1">
        <f t="array" aca="1" ref="AQ116" ca="1">IF(K117=0,0,IF($AP$102="","",_xlfn.SINGLE(_xlfn._xlws.FILTER([1]Hist!$A$6:$A$3069,([1]Hist!$H$6:$H$3069=$AP$102)*([1]Hist!$A$6:$A$3069&gt;=IF(MONTH(B117)=MONTH(K117),B117,B118))*([1]Hist!$A$6:$A$3069&lt;=IF(MONTH(B117)=MONTH(K117),A117,A118)),TODAY()))))</f>
        <v>0</v>
      </c>
      <c r="AR116" s="147">
        <f t="shared" si="33"/>
        <v>0</v>
      </c>
      <c r="AS116" s="145" t="e">
        <f t="shared" ca="1" si="37"/>
        <v>#VALUE!</v>
      </c>
      <c r="AT116" s="148" t="e">
        <f t="shared" ca="1" si="34"/>
        <v>#VALUE!</v>
      </c>
      <c r="AU116" s="113" t="e">
        <f t="shared" ca="1" si="38"/>
        <v>#VALUE!</v>
      </c>
      <c r="AV116" s="132"/>
      <c r="AW116" s="133">
        <f t="shared" ca="1" si="35"/>
        <v>0</v>
      </c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</row>
    <row r="117" spans="1:85" s="117" customFormat="1" ht="14.25" customHeight="1" x14ac:dyDescent="0.3">
      <c r="A117" s="134">
        <f t="shared" si="39"/>
        <v>31</v>
      </c>
      <c r="B117" s="134" t="str">
        <f>IFERROR(K116-DAY(K116-1),"")</f>
        <v/>
      </c>
      <c r="C117"/>
      <c r="D117"/>
      <c r="E117" s="248">
        <v>12</v>
      </c>
      <c r="F117" s="249"/>
      <c r="G117" s="249"/>
      <c r="H117" s="249"/>
      <c r="I117" s="250"/>
      <c r="J117" s="135"/>
      <c r="K117" s="143"/>
      <c r="L117" s="137"/>
      <c r="M117" s="251">
        <f>IF(K117&gt;0,M116,0)</f>
        <v>0</v>
      </c>
      <c r="N117" s="252"/>
      <c r="O117" s="252"/>
      <c r="P117" s="252"/>
      <c r="Q117" s="252"/>
      <c r="R117" s="252"/>
      <c r="S117" s="252"/>
      <c r="T117" s="252"/>
      <c r="U117" s="253"/>
      <c r="AI117" s="118"/>
      <c r="AM117" s="4"/>
      <c r="AN117" s="4"/>
      <c r="AO117" s="4"/>
      <c r="AP117" s="132"/>
      <c r="AQ117" s="133" cm="1">
        <f t="array" aca="1" ref="AQ117" ca="1">IF(K118=0,0,IF($AP$102="","",_xlfn.SINGLE(_xlfn._xlws.FILTER([1]Hist!$A$6:$A$3069,([1]Hist!$H$6:$H$3069=$AP$102)*([1]Hist!$A$6:$A$3069&gt;=B118)*([1]Hist!$A$6:$A$3069&lt;=A118),TODAY()))))</f>
        <v>0</v>
      </c>
      <c r="AR117" s="113"/>
      <c r="AS117" s="132"/>
      <c r="AT117" s="113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</row>
    <row r="118" spans="1:85" ht="14.25" customHeight="1" x14ac:dyDescent="0.3">
      <c r="A118" s="134">
        <f t="shared" si="39"/>
        <v>31</v>
      </c>
      <c r="B118" s="134" t="str">
        <f>IFERROR(K117-DAY(K117-1),"")</f>
        <v/>
      </c>
      <c r="J118" s="149"/>
      <c r="K118" s="150"/>
      <c r="L118" s="149"/>
      <c r="M118" s="251">
        <f ca="1">SUM(M106:M117)</f>
        <v>3297.7</v>
      </c>
      <c r="N118" s="252"/>
      <c r="O118" s="252"/>
      <c r="P118" s="252"/>
      <c r="Q118" s="252"/>
      <c r="R118" s="252"/>
      <c r="S118" s="252"/>
      <c r="T118" s="252"/>
      <c r="U118" s="253"/>
      <c r="AI118" s="118"/>
      <c r="AM118" s="268" t="e">
        <f ca="1">SUM(AM105:AM116)</f>
        <v>#VALUE!</v>
      </c>
      <c r="AN118" s="268"/>
      <c r="AO118" s="118"/>
      <c r="AP118" s="151" t="e">
        <f>SUM(AP105:AP116)</f>
        <v>#VALUE!</v>
      </c>
      <c r="AR118" s="152">
        <f ca="1">SUM(AR105:AR116)</f>
        <v>0.41221249999999998</v>
      </c>
      <c r="AS118" s="153" t="e">
        <f ca="1">AP118-AM117-AR118</f>
        <v>#VALUE!</v>
      </c>
      <c r="AT118" s="154" t="e">
        <f ca="1">SUM(AT105:AT116)</f>
        <v>#VALUE!</v>
      </c>
      <c r="AU118" s="36"/>
      <c r="AV118" s="113">
        <f>SUM(AV105:AV116)</f>
        <v>0</v>
      </c>
    </row>
    <row r="119" spans="1:85" ht="18" x14ac:dyDescent="0.3">
      <c r="AI119" s="118"/>
    </row>
    <row r="120" spans="1:85" ht="21" x14ac:dyDescent="0.4">
      <c r="P120" s="155" t="s">
        <v>166</v>
      </c>
      <c r="Q120" s="155"/>
      <c r="R120" s="155"/>
      <c r="S120" s="155"/>
      <c r="T120" s="155"/>
      <c r="U120" s="155"/>
      <c r="AI120" s="118"/>
    </row>
    <row r="121" spans="1:85" ht="21" x14ac:dyDescent="0.4">
      <c r="C121" s="13" t="s">
        <v>167</v>
      </c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</row>
    <row r="124" spans="1:85" x14ac:dyDescent="0.3">
      <c r="A124" t="s">
        <v>168</v>
      </c>
    </row>
    <row r="125" spans="1:85" x14ac:dyDescent="0.3">
      <c r="B125" t="s">
        <v>4</v>
      </c>
      <c r="D125" t="s">
        <v>169</v>
      </c>
    </row>
    <row r="126" spans="1:85" x14ac:dyDescent="0.3">
      <c r="B126" t="s">
        <v>9</v>
      </c>
      <c r="D126" t="s">
        <v>170</v>
      </c>
    </row>
    <row r="127" spans="1:85" x14ac:dyDescent="0.3">
      <c r="B127" t="s">
        <v>12</v>
      </c>
      <c r="D127" t="s">
        <v>171</v>
      </c>
    </row>
    <row r="128" spans="1:85" x14ac:dyDescent="0.3">
      <c r="B128" t="s">
        <v>15</v>
      </c>
      <c r="D128" t="s">
        <v>172</v>
      </c>
    </row>
    <row r="129" spans="2:4" x14ac:dyDescent="0.3">
      <c r="B129" t="s">
        <v>64</v>
      </c>
      <c r="D129" t="s">
        <v>173</v>
      </c>
    </row>
    <row r="130" spans="2:4" x14ac:dyDescent="0.3">
      <c r="B130" t="s">
        <v>65</v>
      </c>
      <c r="D130" t="s">
        <v>174</v>
      </c>
    </row>
  </sheetData>
  <sheetProtection selectLockedCells="1"/>
  <mergeCells count="72">
    <mergeCell ref="E117:I117"/>
    <mergeCell ref="M117:U117"/>
    <mergeCell ref="M118:U118"/>
    <mergeCell ref="AM118:AN118"/>
    <mergeCell ref="E115:I115"/>
    <mergeCell ref="M115:U115"/>
    <mergeCell ref="AM115:AN115"/>
    <mergeCell ref="E116:I116"/>
    <mergeCell ref="M116:U116"/>
    <mergeCell ref="AM116:AN116"/>
    <mergeCell ref="E113:I113"/>
    <mergeCell ref="M113:U113"/>
    <mergeCell ref="AM113:AN113"/>
    <mergeCell ref="E114:I114"/>
    <mergeCell ref="M114:U114"/>
    <mergeCell ref="AM114:AN114"/>
    <mergeCell ref="E111:I111"/>
    <mergeCell ref="M111:U111"/>
    <mergeCell ref="AM111:AN111"/>
    <mergeCell ref="E112:I112"/>
    <mergeCell ref="M112:U112"/>
    <mergeCell ref="AM112:AN112"/>
    <mergeCell ref="E109:I109"/>
    <mergeCell ref="M109:U109"/>
    <mergeCell ref="AM109:AN109"/>
    <mergeCell ref="E110:I110"/>
    <mergeCell ref="M110:U110"/>
    <mergeCell ref="AM110:AN110"/>
    <mergeCell ref="E107:I107"/>
    <mergeCell ref="M107:U107"/>
    <mergeCell ref="AM107:AN107"/>
    <mergeCell ref="E108:I108"/>
    <mergeCell ref="M108:U108"/>
    <mergeCell ref="AM108:AN108"/>
    <mergeCell ref="E106:I106"/>
    <mergeCell ref="M106:U106"/>
    <mergeCell ref="AM106:AN106"/>
    <mergeCell ref="B82:AL83"/>
    <mergeCell ref="B84:AL85"/>
    <mergeCell ref="AJ99:AL99"/>
    <mergeCell ref="AA102:AC102"/>
    <mergeCell ref="E103:U103"/>
    <mergeCell ref="E104:U104"/>
    <mergeCell ref="AM104:AN104"/>
    <mergeCell ref="E105:I105"/>
    <mergeCell ref="J105:L105"/>
    <mergeCell ref="M105:U105"/>
    <mergeCell ref="AM105:AN105"/>
    <mergeCell ref="B74:AL78"/>
    <mergeCell ref="S38:U38"/>
    <mergeCell ref="AP38:AR38"/>
    <mergeCell ref="B39:E39"/>
    <mergeCell ref="Q46:T46"/>
    <mergeCell ref="B47:AL49"/>
    <mergeCell ref="J54:N54"/>
    <mergeCell ref="I57:L57"/>
    <mergeCell ref="N59:T59"/>
    <mergeCell ref="N60:T60"/>
    <mergeCell ref="B61:AL64"/>
    <mergeCell ref="B70:AL71"/>
    <mergeCell ref="B34:AL36"/>
    <mergeCell ref="T6:X6"/>
    <mergeCell ref="A9:AL9"/>
    <mergeCell ref="Q15:AA15"/>
    <mergeCell ref="Q17:AA17"/>
    <mergeCell ref="Q23:R23"/>
    <mergeCell ref="AC23:AD23"/>
    <mergeCell ref="B27:AL28"/>
    <mergeCell ref="S30:V30"/>
    <mergeCell ref="AA30:AD30"/>
    <mergeCell ref="Q31:R31"/>
    <mergeCell ref="C33:D33"/>
  </mergeCells>
  <conditionalFormatting sqref="A106:B118">
    <cfRule type="containsText" dxfId="7" priority="4" operator="containsText" text="brak wpłaty">
      <formula>NOT(ISERROR(SEARCH("brak wpłaty",A106)))</formula>
    </cfRule>
  </conditionalFormatting>
  <conditionalFormatting sqref="M106:U115">
    <cfRule type="expression" dxfId="6" priority="6">
      <formula>K106&lt;TODAY()</formula>
    </cfRule>
  </conditionalFormatting>
  <conditionalFormatting sqref="AM105:AM116">
    <cfRule type="expression" dxfId="5" priority="8">
      <formula>$M$106=$AM$105</formula>
    </cfRule>
  </conditionalFormatting>
  <conditionalFormatting sqref="AN101">
    <cfRule type="expression" dxfId="4" priority="7">
      <formula>$AN$101&lt;&gt;0</formula>
    </cfRule>
  </conditionalFormatting>
  <conditionalFormatting sqref="AQ105:AQ117">
    <cfRule type="containsText" dxfId="3" priority="3" operator="containsText" text="brak wpłaty">
      <formula>NOT(ISERROR(SEARCH("brak wpłaty",AQ105)))</formula>
    </cfRule>
  </conditionalFormatting>
  <conditionalFormatting sqref="AS118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AW105:AW116">
    <cfRule type="containsText" dxfId="0" priority="5" operator="containsText" text="brak wpłaty">
      <formula>NOT(ISERROR(SEARCH("brak wpłaty",AW105)))</formula>
    </cfRule>
  </conditionalFormatting>
  <dataValidations count="12">
    <dataValidation type="list" allowBlank="1" showInputMessage="1" showErrorMessage="1" sqref="AC23" xr:uid="{B5A79B61-3094-46C9-BCA0-117FF8EC4588}">
      <formula1>$AO$5:$AO$7</formula1>
    </dataValidation>
    <dataValidation type="list" allowBlank="1" showInputMessage="1" showErrorMessage="1" sqref="AY64:BG64 AY41:BG41 AY53:BG53 BJ41:BL41 J43" xr:uid="{F3649F78-66BB-4308-B048-54B781144359}">
      <mc:AlternateContent xmlns:x12ac="http://schemas.microsoft.com/office/spreadsheetml/2011/1/ac" xmlns:mc="http://schemas.openxmlformats.org/markup-compatibility/2006">
        <mc:Choice Requires="x12ac">
          <x12ac:list>"""""",T,N</x12ac:list>
        </mc:Choice>
        <mc:Fallback>
          <formula1>""""",T,N"</formula1>
        </mc:Fallback>
      </mc:AlternateContent>
    </dataValidation>
    <dataValidation type="list" allowBlank="1" showInputMessage="1" showErrorMessage="1" sqref="AY63:BG63 AY40:BG40 AY52:BG52 BJ40:BL40 J42" xr:uid="{8BBEFDEC-640A-459C-852C-81F1622ADC6D}">
      <formula1>" ,1,2,3,3+"</formula1>
    </dataValidation>
    <dataValidation type="list" allowBlank="1" showInputMessage="1" showErrorMessage="1" sqref="K58" xr:uid="{B818FFF9-FB99-45AD-AF7A-668BCE2DF46B}">
      <formula1>"5,15,25"</formula1>
    </dataValidation>
    <dataValidation type="list" allowBlank="1" showInputMessage="1" showErrorMessage="1" sqref="J41 AY39:BG39 AY42:BG43 AY51:BG51 AY54:BG55 BJ39:BL39 BJ42:BL43 AY65:BG66 AY62:BG62 J44:J46" xr:uid="{90C7FD5B-5E26-4AF3-8A34-56EF7FF1D025}">
      <formula1>" ,T,N"</formula1>
    </dataValidation>
    <dataValidation type="list" allowBlank="1" showInputMessage="1" showErrorMessage="1" sqref="C33:D33" xr:uid="{4489416E-6857-4243-B8A4-57F3BCE1F0A3}">
      <formula1>$AR$4:$AR$9</formula1>
    </dataValidation>
    <dataValidation type="list" allowBlank="1" showInputMessage="1" showErrorMessage="1" sqref="C29" xr:uid="{1EE383DE-B026-4D89-823F-1853C3699042}">
      <formula1>$AQ$4:$AQ$17</formula1>
    </dataValidation>
    <dataValidation type="list" allowBlank="1" showInputMessage="1" showErrorMessage="1" sqref="S31" xr:uid="{5346F1C8-4AA6-4162-A463-A470964679DF}">
      <formula1>"jednostki lekcyjne.,jednostek lekcyjnych.,"</formula1>
    </dataValidation>
    <dataValidation type="list" allowBlank="1" showInputMessage="1" showErrorMessage="1" sqref="V38" xr:uid="{FF8E6D45-B62B-4868-B08D-0822BFA2AA3C}">
      <mc:AlternateContent xmlns:x12ac="http://schemas.microsoft.com/office/spreadsheetml/2011/1/ac" xmlns:mc="http://schemas.openxmlformats.org/markup-compatibility/2006">
        <mc:Choice Requires="x12ac">
          <x12ac:list>"jednostek lekcyjnych, ze stawką podstawową","jednostki lekcyjne, ze stawką podstawową",</x12ac:list>
        </mc:Choice>
        <mc:Fallback>
          <formula1>"jednostek lekcyjnych, ze stawką podstawową,jednostki lekcyjne, ze stawką podstawową,"</formula1>
        </mc:Fallback>
      </mc:AlternateContent>
    </dataValidation>
    <dataValidation type="list" allowBlank="1" showInputMessage="1" showErrorMessage="1" sqref="L50:L51" xr:uid="{4DA0C25D-8D7A-41C4-9AC6-EE8811663628}">
      <mc:AlternateContent xmlns:x12ac="http://schemas.microsoft.com/office/spreadsheetml/2011/1/ac" xmlns:mc="http://schemas.openxmlformats.org/markup-compatibility/2006">
        <mc:Choice Requires="x12ac">
          <x12ac:list>rabatu.,rabatu z tytułu kontynuacji zajęć.,"rabatu z tytułu ""następny członek rodziny"".","rabatu z tytułu kontynuacji zajęć i ""następny członek rodziny"".",</x12ac:list>
        </mc:Choice>
        <mc:Fallback>
          <formula1>"rabatu.,rabatu z tytułu kontynuacji zajęć.,rabatu z tytułu ""następny członek rodziny"".,rabatu z tytułu kontynuacji zajęć i ""następny członek rodziny"".,"</formula1>
        </mc:Fallback>
      </mc:AlternateContent>
    </dataValidation>
    <dataValidation type="list" allowBlank="1" showInputMessage="1" showErrorMessage="1" sqref="O39" xr:uid="{F2EAF122-A4B1-460E-BFD8-785E6F33933F}">
      <formula1>$AS$5:$AS$8</formula1>
    </dataValidation>
    <dataValidation type="list" allowBlank="1" showInputMessage="1" showErrorMessage="1" sqref="BM36" xr:uid="{E414C192-6E3A-48E5-AC05-95362A553A32}">
      <formula1>$BM$40:$BM$43</formula1>
    </dataValidation>
  </dataValidations>
  <pageMargins left="0.23622047244094491" right="0.23622047244094491" top="0.62992125984251968" bottom="0.74803149606299213" header="0.11811023622047245" footer="0.31496062992125984"/>
  <pageSetup paperSize="9" fitToHeight="0" orientation="portrait" r:id="rId1"/>
  <headerFooter>
    <oddHeader>&amp;C&amp;G</oddHeader>
    <oddFooter>&amp;CGREGOR ACADEMY, tel.: 695 708 620, www.gregor.edu.pl, e-mail: kontakt@gregor.edu.pl
Sekretariat tel.:  536 314 785  e-mail: faktury@gregor.edu.pl&amp;R&amp;P z &amp;N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452D62-B934-4D3F-8047-AF1E7688420D}">
          <x14:formula1>
            <xm:f>Lista!$C$3:$C$301</xm:f>
          </x14:formula1>
          <xm:sqref>Q12</xm:sqref>
        </x14:dataValidation>
        <x14:dataValidation type="list" allowBlank="1" showInputMessage="1" showErrorMessage="1" xr:uid="{1BDBB06A-3B2B-4697-B5DA-30BDECF461C6}">
          <x14:formula1>
            <xm:f>Lista!AP3:AP301</xm:f>
          </x14:formula1>
          <xm:sqref>AP102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Kal_26_27</vt:lpstr>
      <vt:lpstr>Lista</vt:lpstr>
      <vt:lpstr>Wzór</vt:lpstr>
      <vt:lpstr>Wzór!Obszar_wydruku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Tadeusz Graszek</dc:creator>
  <cp:lastModifiedBy>Tadeusz Graszek</cp:lastModifiedBy>
  <dcterms:created xsi:type="dcterms:W3CDTF">2026-06-19T08:38:04Z</dcterms:created>
  <dcterms:modified xsi:type="dcterms:W3CDTF">2026-06-29T10:54:29Z</dcterms:modified>
</cp:coreProperties>
</file>